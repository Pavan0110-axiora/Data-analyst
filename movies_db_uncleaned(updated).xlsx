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xiora User-08\Downloads\"/>
    </mc:Choice>
  </mc:AlternateContent>
  <xr:revisionPtr revIDLastSave="0" documentId="8_{90204011-2B29-41C3-A470-4AA367D17C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  <c r="I32" i="1"/>
  <c r="J32" i="1"/>
  <c r="K32" i="1"/>
  <c r="L32" i="1"/>
  <c r="M32" i="1"/>
  <c r="N32" i="1"/>
  <c r="P32" i="1"/>
  <c r="Q32" i="1"/>
  <c r="R32" i="1"/>
  <c r="S32" i="1"/>
  <c r="U32" i="1"/>
  <c r="V32" i="1"/>
  <c r="W32" i="1"/>
  <c r="Y32" i="1" s="1"/>
  <c r="AA32" i="1" s="1"/>
  <c r="X32" i="1"/>
  <c r="F33" i="1"/>
  <c r="I33" i="1"/>
  <c r="J33" i="1"/>
  <c r="K33" i="1"/>
  <c r="L33" i="1"/>
  <c r="M33" i="1"/>
  <c r="N33" i="1"/>
  <c r="P33" i="1"/>
  <c r="Q33" i="1"/>
  <c r="R33" i="1"/>
  <c r="S33" i="1"/>
  <c r="U33" i="1"/>
  <c r="V33" i="1"/>
  <c r="W33" i="1"/>
  <c r="Y33" i="1" s="1"/>
  <c r="AA33" i="1" s="1"/>
  <c r="X33" i="1"/>
  <c r="F34" i="1"/>
  <c r="I34" i="1"/>
  <c r="J34" i="1"/>
  <c r="K34" i="1"/>
  <c r="L34" i="1"/>
  <c r="M34" i="1"/>
  <c r="N34" i="1"/>
  <c r="P34" i="1"/>
  <c r="Q34" i="1"/>
  <c r="R34" i="1"/>
  <c r="S34" i="1"/>
  <c r="U34" i="1"/>
  <c r="V34" i="1"/>
  <c r="W34" i="1"/>
  <c r="Y34" i="1" s="1"/>
  <c r="AA34" i="1" s="1"/>
  <c r="X34" i="1"/>
  <c r="F35" i="1"/>
  <c r="I35" i="1"/>
  <c r="J35" i="1"/>
  <c r="K35" i="1"/>
  <c r="L35" i="1"/>
  <c r="M35" i="1"/>
  <c r="N35" i="1"/>
  <c r="P35" i="1"/>
  <c r="Q35" i="1"/>
  <c r="R35" i="1"/>
  <c r="S35" i="1"/>
  <c r="U35" i="1"/>
  <c r="V35" i="1"/>
  <c r="Y35" i="1" s="1"/>
  <c r="W35" i="1"/>
  <c r="X35" i="1"/>
  <c r="Z35" i="1"/>
  <c r="AB35" i="1" s="1"/>
  <c r="F36" i="1"/>
  <c r="I36" i="1"/>
  <c r="J36" i="1"/>
  <c r="K36" i="1"/>
  <c r="L36" i="1"/>
  <c r="M36" i="1"/>
  <c r="N36" i="1"/>
  <c r="P36" i="1"/>
  <c r="Q36" i="1"/>
  <c r="R36" i="1"/>
  <c r="S36" i="1"/>
  <c r="U36" i="1"/>
  <c r="V36" i="1"/>
  <c r="W36" i="1"/>
  <c r="Y36" i="1" s="1"/>
  <c r="X36" i="1"/>
  <c r="F37" i="1"/>
  <c r="I37" i="1"/>
  <c r="J37" i="1"/>
  <c r="K37" i="1"/>
  <c r="L37" i="1"/>
  <c r="M37" i="1"/>
  <c r="N37" i="1"/>
  <c r="P37" i="1"/>
  <c r="Q37" i="1"/>
  <c r="R37" i="1"/>
  <c r="S37" i="1"/>
  <c r="U37" i="1"/>
  <c r="Z37" i="1" s="1"/>
  <c r="AB37" i="1" s="1"/>
  <c r="V37" i="1"/>
  <c r="W37" i="1"/>
  <c r="X37" i="1"/>
  <c r="F38" i="1"/>
  <c r="I38" i="1"/>
  <c r="J38" i="1"/>
  <c r="K38" i="1"/>
  <c r="L38" i="1"/>
  <c r="M38" i="1"/>
  <c r="N38" i="1"/>
  <c r="P38" i="1"/>
  <c r="Q38" i="1"/>
  <c r="R38" i="1"/>
  <c r="S38" i="1"/>
  <c r="U38" i="1"/>
  <c r="V38" i="1"/>
  <c r="W38" i="1"/>
  <c r="X38" i="1"/>
  <c r="F39" i="1"/>
  <c r="I39" i="1"/>
  <c r="J39" i="1"/>
  <c r="K39" i="1"/>
  <c r="L39" i="1"/>
  <c r="M39" i="1"/>
  <c r="N39" i="1"/>
  <c r="P39" i="1"/>
  <c r="Q39" i="1"/>
  <c r="R39" i="1"/>
  <c r="S39" i="1"/>
  <c r="U39" i="1"/>
  <c r="V39" i="1"/>
  <c r="W39" i="1"/>
  <c r="Y39" i="1" s="1"/>
  <c r="X39" i="1"/>
  <c r="F40" i="1"/>
  <c r="I40" i="1"/>
  <c r="J40" i="1"/>
  <c r="K40" i="1"/>
  <c r="L40" i="1"/>
  <c r="M40" i="1"/>
  <c r="N40" i="1"/>
  <c r="P40" i="1"/>
  <c r="Q40" i="1"/>
  <c r="R40" i="1"/>
  <c r="S40" i="1"/>
  <c r="U40" i="1"/>
  <c r="V40" i="1"/>
  <c r="W40" i="1"/>
  <c r="Y40" i="1" s="1"/>
  <c r="X40" i="1"/>
  <c r="F2" i="1"/>
  <c r="I2" i="1"/>
  <c r="J2" i="1"/>
  <c r="K2" i="1"/>
  <c r="L2" i="1"/>
  <c r="M2" i="1"/>
  <c r="N2" i="1"/>
  <c r="P2" i="1"/>
  <c r="Q2" i="1"/>
  <c r="R2" i="1"/>
  <c r="S2" i="1"/>
  <c r="U2" i="1"/>
  <c r="V2" i="1"/>
  <c r="W2" i="1"/>
  <c r="X2" i="1"/>
  <c r="F3" i="1"/>
  <c r="I3" i="1"/>
  <c r="J3" i="1"/>
  <c r="K3" i="1"/>
  <c r="L3" i="1"/>
  <c r="M3" i="1"/>
  <c r="N3" i="1"/>
  <c r="P3" i="1"/>
  <c r="Q3" i="1"/>
  <c r="R3" i="1"/>
  <c r="S3" i="1"/>
  <c r="U3" i="1"/>
  <c r="V3" i="1"/>
  <c r="W3" i="1"/>
  <c r="X3" i="1"/>
  <c r="F4" i="1"/>
  <c r="I4" i="1"/>
  <c r="J4" i="1"/>
  <c r="K4" i="1"/>
  <c r="L4" i="1"/>
  <c r="M4" i="1"/>
  <c r="N4" i="1"/>
  <c r="P4" i="1"/>
  <c r="Q4" i="1"/>
  <c r="R4" i="1"/>
  <c r="S4" i="1"/>
  <c r="U4" i="1"/>
  <c r="V4" i="1"/>
  <c r="W4" i="1"/>
  <c r="X4" i="1"/>
  <c r="F5" i="1"/>
  <c r="I5" i="1"/>
  <c r="J5" i="1"/>
  <c r="K5" i="1"/>
  <c r="L5" i="1"/>
  <c r="M5" i="1"/>
  <c r="N5" i="1"/>
  <c r="P5" i="1"/>
  <c r="Q5" i="1"/>
  <c r="R5" i="1"/>
  <c r="S5" i="1"/>
  <c r="U5" i="1"/>
  <c r="V5" i="1"/>
  <c r="W5" i="1"/>
  <c r="X5" i="1"/>
  <c r="F6" i="1"/>
  <c r="I6" i="1"/>
  <c r="J6" i="1"/>
  <c r="K6" i="1"/>
  <c r="L6" i="1"/>
  <c r="M6" i="1"/>
  <c r="N6" i="1"/>
  <c r="P6" i="1"/>
  <c r="Q6" i="1"/>
  <c r="R6" i="1"/>
  <c r="S6" i="1"/>
  <c r="U6" i="1"/>
  <c r="V6" i="1"/>
  <c r="W6" i="1"/>
  <c r="Y6" i="1" s="1"/>
  <c r="X6" i="1"/>
  <c r="F7" i="1"/>
  <c r="I7" i="1"/>
  <c r="J7" i="1"/>
  <c r="K7" i="1"/>
  <c r="L7" i="1"/>
  <c r="M7" i="1"/>
  <c r="N7" i="1"/>
  <c r="P7" i="1"/>
  <c r="Q7" i="1"/>
  <c r="R7" i="1"/>
  <c r="S7" i="1"/>
  <c r="U7" i="1"/>
  <c r="V7" i="1"/>
  <c r="W7" i="1"/>
  <c r="X7" i="1"/>
  <c r="F8" i="1"/>
  <c r="I8" i="1"/>
  <c r="J8" i="1"/>
  <c r="K8" i="1"/>
  <c r="L8" i="1"/>
  <c r="M8" i="1"/>
  <c r="N8" i="1"/>
  <c r="P8" i="1"/>
  <c r="Q8" i="1"/>
  <c r="R8" i="1"/>
  <c r="S8" i="1"/>
  <c r="U8" i="1"/>
  <c r="V8" i="1"/>
  <c r="W8" i="1"/>
  <c r="X8" i="1"/>
  <c r="F9" i="1"/>
  <c r="I9" i="1"/>
  <c r="J9" i="1"/>
  <c r="K9" i="1"/>
  <c r="L9" i="1"/>
  <c r="M9" i="1"/>
  <c r="N9" i="1"/>
  <c r="P9" i="1"/>
  <c r="Q9" i="1"/>
  <c r="R9" i="1"/>
  <c r="S9" i="1"/>
  <c r="U9" i="1"/>
  <c r="V9" i="1"/>
  <c r="W9" i="1"/>
  <c r="Y9" i="1" s="1"/>
  <c r="X9" i="1"/>
  <c r="F10" i="1"/>
  <c r="I10" i="1"/>
  <c r="J10" i="1"/>
  <c r="K10" i="1"/>
  <c r="L10" i="1"/>
  <c r="M10" i="1"/>
  <c r="N10" i="1"/>
  <c r="P10" i="1"/>
  <c r="Q10" i="1"/>
  <c r="R10" i="1"/>
  <c r="S10" i="1"/>
  <c r="U10" i="1"/>
  <c r="V10" i="1"/>
  <c r="W10" i="1"/>
  <c r="X10" i="1"/>
  <c r="F11" i="1"/>
  <c r="I11" i="1"/>
  <c r="J11" i="1"/>
  <c r="K11" i="1"/>
  <c r="L11" i="1"/>
  <c r="M11" i="1"/>
  <c r="N11" i="1"/>
  <c r="P11" i="1"/>
  <c r="Q11" i="1"/>
  <c r="R11" i="1"/>
  <c r="S11" i="1"/>
  <c r="U11" i="1"/>
  <c r="V11" i="1"/>
  <c r="Y11" i="1" s="1"/>
  <c r="W11" i="1"/>
  <c r="X11" i="1"/>
  <c r="F12" i="1"/>
  <c r="I12" i="1"/>
  <c r="J12" i="1"/>
  <c r="K12" i="1"/>
  <c r="L12" i="1"/>
  <c r="M12" i="1"/>
  <c r="N12" i="1"/>
  <c r="P12" i="1"/>
  <c r="Q12" i="1"/>
  <c r="R12" i="1"/>
  <c r="S12" i="1"/>
  <c r="U12" i="1"/>
  <c r="V12" i="1"/>
  <c r="W12" i="1"/>
  <c r="X12" i="1"/>
  <c r="F13" i="1"/>
  <c r="I13" i="1"/>
  <c r="J13" i="1"/>
  <c r="K13" i="1"/>
  <c r="L13" i="1"/>
  <c r="M13" i="1"/>
  <c r="N13" i="1"/>
  <c r="P13" i="1"/>
  <c r="Q13" i="1"/>
  <c r="R13" i="1"/>
  <c r="S13" i="1"/>
  <c r="U13" i="1"/>
  <c r="V13" i="1"/>
  <c r="W13" i="1"/>
  <c r="Y13" i="1" s="1"/>
  <c r="X13" i="1"/>
  <c r="F14" i="1"/>
  <c r="I14" i="1"/>
  <c r="J14" i="1"/>
  <c r="K14" i="1"/>
  <c r="L14" i="1"/>
  <c r="M14" i="1"/>
  <c r="N14" i="1"/>
  <c r="P14" i="1"/>
  <c r="Q14" i="1"/>
  <c r="R14" i="1"/>
  <c r="S14" i="1"/>
  <c r="U14" i="1"/>
  <c r="V14" i="1"/>
  <c r="W14" i="1"/>
  <c r="Y14" i="1" s="1"/>
  <c r="X14" i="1"/>
  <c r="F15" i="1"/>
  <c r="I15" i="1"/>
  <c r="J15" i="1"/>
  <c r="K15" i="1"/>
  <c r="L15" i="1"/>
  <c r="M15" i="1"/>
  <c r="N15" i="1"/>
  <c r="P15" i="1"/>
  <c r="Q15" i="1"/>
  <c r="R15" i="1"/>
  <c r="S15" i="1"/>
  <c r="U15" i="1"/>
  <c r="V15" i="1"/>
  <c r="W15" i="1"/>
  <c r="X15" i="1"/>
  <c r="F16" i="1"/>
  <c r="I16" i="1"/>
  <c r="J16" i="1"/>
  <c r="K16" i="1"/>
  <c r="L16" i="1"/>
  <c r="M16" i="1"/>
  <c r="N16" i="1"/>
  <c r="P16" i="1"/>
  <c r="Q16" i="1"/>
  <c r="R16" i="1"/>
  <c r="S16" i="1"/>
  <c r="U16" i="1"/>
  <c r="V16" i="1"/>
  <c r="W16" i="1"/>
  <c r="X16" i="1"/>
  <c r="F17" i="1"/>
  <c r="I17" i="1"/>
  <c r="J17" i="1"/>
  <c r="K17" i="1"/>
  <c r="L17" i="1"/>
  <c r="M17" i="1"/>
  <c r="N17" i="1"/>
  <c r="P17" i="1"/>
  <c r="Q17" i="1"/>
  <c r="R17" i="1"/>
  <c r="S17" i="1"/>
  <c r="U17" i="1"/>
  <c r="V17" i="1"/>
  <c r="W17" i="1"/>
  <c r="Z17" i="1" s="1"/>
  <c r="X17" i="1"/>
  <c r="F18" i="1"/>
  <c r="I18" i="1"/>
  <c r="J18" i="1"/>
  <c r="K18" i="1"/>
  <c r="L18" i="1"/>
  <c r="M18" i="1"/>
  <c r="N18" i="1"/>
  <c r="P18" i="1"/>
  <c r="Q18" i="1"/>
  <c r="R18" i="1"/>
  <c r="S18" i="1"/>
  <c r="U18" i="1"/>
  <c r="V18" i="1"/>
  <c r="W18" i="1"/>
  <c r="X18" i="1"/>
  <c r="F19" i="1"/>
  <c r="I19" i="1"/>
  <c r="J19" i="1"/>
  <c r="K19" i="1"/>
  <c r="L19" i="1"/>
  <c r="M19" i="1"/>
  <c r="N19" i="1"/>
  <c r="P19" i="1"/>
  <c r="Q19" i="1"/>
  <c r="R19" i="1"/>
  <c r="S19" i="1"/>
  <c r="AA19" i="1" s="1"/>
  <c r="U19" i="1"/>
  <c r="Z19" i="1" s="1"/>
  <c r="AB19" i="1" s="1"/>
  <c r="V19" i="1"/>
  <c r="W19" i="1"/>
  <c r="X19" i="1"/>
  <c r="Y19" i="1"/>
  <c r="F20" i="1"/>
  <c r="I20" i="1"/>
  <c r="J20" i="1"/>
  <c r="K20" i="1"/>
  <c r="L20" i="1"/>
  <c r="M20" i="1"/>
  <c r="N20" i="1"/>
  <c r="P20" i="1"/>
  <c r="Q20" i="1"/>
  <c r="R20" i="1"/>
  <c r="S20" i="1"/>
  <c r="U20" i="1"/>
  <c r="V20" i="1"/>
  <c r="W20" i="1"/>
  <c r="X20" i="1"/>
  <c r="F21" i="1"/>
  <c r="I21" i="1"/>
  <c r="J21" i="1"/>
  <c r="K21" i="1"/>
  <c r="L21" i="1"/>
  <c r="M21" i="1"/>
  <c r="N21" i="1"/>
  <c r="P21" i="1"/>
  <c r="Q21" i="1"/>
  <c r="R21" i="1"/>
  <c r="S21" i="1"/>
  <c r="U21" i="1"/>
  <c r="V21" i="1"/>
  <c r="Y21" i="1" s="1"/>
  <c r="W21" i="1"/>
  <c r="X21" i="1"/>
  <c r="F22" i="1"/>
  <c r="I22" i="1"/>
  <c r="J22" i="1"/>
  <c r="K22" i="1"/>
  <c r="L22" i="1"/>
  <c r="M22" i="1"/>
  <c r="N22" i="1"/>
  <c r="P22" i="1"/>
  <c r="Q22" i="1"/>
  <c r="R22" i="1"/>
  <c r="S22" i="1"/>
  <c r="U22" i="1"/>
  <c r="V22" i="1"/>
  <c r="Y22" i="1" s="1"/>
  <c r="W22" i="1"/>
  <c r="Z22" i="1" s="1"/>
  <c r="X22" i="1"/>
  <c r="F23" i="1"/>
  <c r="I23" i="1"/>
  <c r="J23" i="1"/>
  <c r="K23" i="1"/>
  <c r="L23" i="1"/>
  <c r="M23" i="1"/>
  <c r="N23" i="1"/>
  <c r="P23" i="1"/>
  <c r="Q23" i="1"/>
  <c r="R23" i="1"/>
  <c r="S23" i="1"/>
  <c r="U23" i="1"/>
  <c r="V23" i="1"/>
  <c r="W23" i="1"/>
  <c r="X23" i="1"/>
  <c r="F24" i="1"/>
  <c r="I24" i="1"/>
  <c r="J24" i="1"/>
  <c r="K24" i="1"/>
  <c r="L24" i="1"/>
  <c r="M24" i="1"/>
  <c r="N24" i="1"/>
  <c r="P24" i="1"/>
  <c r="Q24" i="1"/>
  <c r="R24" i="1"/>
  <c r="S24" i="1"/>
  <c r="U24" i="1"/>
  <c r="V24" i="1"/>
  <c r="Y24" i="1" s="1"/>
  <c r="W24" i="1"/>
  <c r="Z24" i="1" s="1"/>
  <c r="X24" i="1"/>
  <c r="F25" i="1"/>
  <c r="I25" i="1"/>
  <c r="J25" i="1"/>
  <c r="K25" i="1"/>
  <c r="L25" i="1"/>
  <c r="M25" i="1"/>
  <c r="N25" i="1"/>
  <c r="P25" i="1"/>
  <c r="Q25" i="1"/>
  <c r="R25" i="1"/>
  <c r="S25" i="1"/>
  <c r="U25" i="1"/>
  <c r="V25" i="1"/>
  <c r="W25" i="1"/>
  <c r="Z25" i="1" s="1"/>
  <c r="X25" i="1"/>
  <c r="F26" i="1"/>
  <c r="I26" i="1"/>
  <c r="J26" i="1"/>
  <c r="K26" i="1"/>
  <c r="L26" i="1"/>
  <c r="M26" i="1"/>
  <c r="N26" i="1"/>
  <c r="P26" i="1"/>
  <c r="Q26" i="1"/>
  <c r="R26" i="1"/>
  <c r="S26" i="1"/>
  <c r="U26" i="1"/>
  <c r="V26" i="1"/>
  <c r="W26" i="1"/>
  <c r="X26" i="1"/>
  <c r="F27" i="1"/>
  <c r="I27" i="1"/>
  <c r="J27" i="1"/>
  <c r="K27" i="1"/>
  <c r="L27" i="1"/>
  <c r="M27" i="1"/>
  <c r="N27" i="1"/>
  <c r="P27" i="1"/>
  <c r="Q27" i="1"/>
  <c r="R27" i="1"/>
  <c r="S27" i="1"/>
  <c r="U27" i="1"/>
  <c r="V27" i="1"/>
  <c r="W27" i="1"/>
  <c r="Y27" i="1" s="1"/>
  <c r="AA27" i="1" s="1"/>
  <c r="X27" i="1"/>
  <c r="F28" i="1"/>
  <c r="I28" i="1"/>
  <c r="J28" i="1"/>
  <c r="K28" i="1"/>
  <c r="L28" i="1"/>
  <c r="M28" i="1"/>
  <c r="N28" i="1"/>
  <c r="P28" i="1"/>
  <c r="Q28" i="1"/>
  <c r="R28" i="1"/>
  <c r="S28" i="1"/>
  <c r="U28" i="1"/>
  <c r="V28" i="1"/>
  <c r="W28" i="1"/>
  <c r="Y28" i="1" s="1"/>
  <c r="X28" i="1"/>
  <c r="F29" i="1"/>
  <c r="I29" i="1"/>
  <c r="J29" i="1"/>
  <c r="K29" i="1"/>
  <c r="L29" i="1"/>
  <c r="M29" i="1"/>
  <c r="N29" i="1"/>
  <c r="P29" i="1"/>
  <c r="Q29" i="1"/>
  <c r="R29" i="1"/>
  <c r="S29" i="1"/>
  <c r="U29" i="1"/>
  <c r="V29" i="1"/>
  <c r="W29" i="1"/>
  <c r="Y29" i="1" s="1"/>
  <c r="X29" i="1"/>
  <c r="F30" i="1"/>
  <c r="I30" i="1"/>
  <c r="J30" i="1"/>
  <c r="K30" i="1"/>
  <c r="L30" i="1"/>
  <c r="M30" i="1"/>
  <c r="N30" i="1"/>
  <c r="P30" i="1"/>
  <c r="Q30" i="1"/>
  <c r="R30" i="1"/>
  <c r="S30" i="1"/>
  <c r="U30" i="1"/>
  <c r="V30" i="1"/>
  <c r="W30" i="1"/>
  <c r="Y30" i="1" s="1"/>
  <c r="X30" i="1"/>
  <c r="C43" i="2"/>
  <c r="X31" i="1"/>
  <c r="N31" i="1"/>
  <c r="M31" i="1"/>
  <c r="L31" i="1"/>
  <c r="P31" i="1"/>
  <c r="K31" i="1"/>
  <c r="W31" i="1"/>
  <c r="V31" i="1"/>
  <c r="U31" i="1"/>
  <c r="S31" i="1"/>
  <c r="R31" i="1"/>
  <c r="Q31" i="1"/>
  <c r="J31" i="1"/>
  <c r="I31" i="1"/>
  <c r="F31" i="1"/>
  <c r="Z11" i="1" l="1"/>
  <c r="Y3" i="1"/>
  <c r="AA3" i="1" s="1"/>
  <c r="Z40" i="1"/>
  <c r="AB40" i="1" s="1"/>
  <c r="Z33" i="1"/>
  <c r="AB33" i="1" s="1"/>
  <c r="Y4" i="1"/>
  <c r="AA4" i="1" s="1"/>
  <c r="AA24" i="1"/>
  <c r="AA22" i="1"/>
  <c r="Z4" i="1"/>
  <c r="AA36" i="1"/>
  <c r="Z27" i="1"/>
  <c r="AB27" i="1" s="1"/>
  <c r="Y25" i="1"/>
  <c r="AB24" i="1"/>
  <c r="Y17" i="1"/>
  <c r="AA17" i="1" s="1"/>
  <c r="Y7" i="1"/>
  <c r="AA7" i="1" s="1"/>
  <c r="Z5" i="1"/>
  <c r="Z32" i="1"/>
  <c r="AB32" i="1" s="1"/>
  <c r="Y16" i="1"/>
  <c r="Y38" i="1"/>
  <c r="AA38" i="1" s="1"/>
  <c r="AB25" i="1"/>
  <c r="AA9" i="1"/>
  <c r="AA40" i="1"/>
  <c r="Z30" i="1"/>
  <c r="AB30" i="1" s="1"/>
  <c r="Y23" i="1"/>
  <c r="Y20" i="1"/>
  <c r="Z10" i="1"/>
  <c r="Y2" i="1"/>
  <c r="AA2" i="1" s="1"/>
  <c r="AA16" i="1"/>
  <c r="Z13" i="1"/>
  <c r="AB13" i="1" s="1"/>
  <c r="AA6" i="1"/>
  <c r="AB22" i="1"/>
  <c r="Z2" i="1"/>
  <c r="AB2" i="1" s="1"/>
  <c r="Z29" i="1"/>
  <c r="AB17" i="1"/>
  <c r="Z16" i="1"/>
  <c r="AB16" i="1" s="1"/>
  <c r="Z14" i="1"/>
  <c r="AB14" i="1" s="1"/>
  <c r="Y18" i="1"/>
  <c r="AA18" i="1" s="1"/>
  <c r="Y10" i="1"/>
  <c r="AA10" i="1" s="1"/>
  <c r="Z7" i="1"/>
  <c r="AB7" i="1" s="1"/>
  <c r="Y37" i="1"/>
  <c r="Y26" i="1"/>
  <c r="AA26" i="1" s="1"/>
  <c r="AA14" i="1"/>
  <c r="AA13" i="1"/>
  <c r="AA28" i="1"/>
  <c r="Z26" i="1"/>
  <c r="AB26" i="1" s="1"/>
  <c r="AA30" i="1"/>
  <c r="AA25" i="1"/>
  <c r="Z21" i="1"/>
  <c r="AB21" i="1" s="1"/>
  <c r="Z18" i="1"/>
  <c r="AB18" i="1" s="1"/>
  <c r="Y15" i="1"/>
  <c r="AA15" i="1" s="1"/>
  <c r="Y12" i="1"/>
  <c r="AA12" i="1" s="1"/>
  <c r="Z9" i="1"/>
  <c r="AB9" i="1" s="1"/>
  <c r="Z6" i="1"/>
  <c r="AB6" i="1" s="1"/>
  <c r="Z39" i="1"/>
  <c r="AB39" i="1" s="1"/>
  <c r="AB11" i="1"/>
  <c r="AB10" i="1"/>
  <c r="Y8" i="1"/>
  <c r="AA8" i="1" s="1"/>
  <c r="Y5" i="1"/>
  <c r="AA5" i="1" s="1"/>
  <c r="AA37" i="1"/>
  <c r="AA35" i="1"/>
  <c r="AB5" i="1"/>
  <c r="AB4" i="1"/>
  <c r="AA39" i="1"/>
  <c r="AA11" i="1"/>
  <c r="AB29" i="1"/>
  <c r="AA23" i="1"/>
  <c r="AA20" i="1"/>
  <c r="Z23" i="1"/>
  <c r="AB23" i="1" s="1"/>
  <c r="Z15" i="1"/>
  <c r="AB15" i="1" s="1"/>
  <c r="Z8" i="1"/>
  <c r="AB8" i="1" s="1"/>
  <c r="Z28" i="1"/>
  <c r="AB28" i="1" s="1"/>
  <c r="Z20" i="1"/>
  <c r="AB20" i="1" s="1"/>
  <c r="Z12" i="1"/>
  <c r="AB12" i="1" s="1"/>
  <c r="Z3" i="1"/>
  <c r="AB3" i="1" s="1"/>
  <c r="Z34" i="1"/>
  <c r="AB34" i="1" s="1"/>
  <c r="Z36" i="1"/>
  <c r="AB36" i="1" s="1"/>
  <c r="AA29" i="1"/>
  <c r="AA21" i="1"/>
  <c r="Z38" i="1"/>
  <c r="AB38" i="1" s="1"/>
  <c r="Z31" i="1"/>
  <c r="AB31" i="1" s="1"/>
  <c r="Y31" i="1"/>
  <c r="AA31" i="1" s="1"/>
  <c r="AA45" i="1" l="1"/>
  <c r="AB45" i="1"/>
</calcChain>
</file>

<file path=xl/sharedStrings.xml><?xml version="1.0" encoding="utf-8"?>
<sst xmlns="http://schemas.openxmlformats.org/spreadsheetml/2006/main" count="285" uniqueCount="183">
  <si>
    <t>movie_id</t>
  </si>
  <si>
    <t>release_year</t>
  </si>
  <si>
    <t>imdb_rating</t>
  </si>
  <si>
    <t>studio</t>
  </si>
  <si>
    <t>language_id</t>
  </si>
  <si>
    <t>Marvel Studios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</si>
  <si>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</si>
  <si>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</si>
  <si>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</si>
  <si>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</si>
  <si>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</si>
  <si>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</si>
  <si>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 xml:space="preserve">Universal Pictures  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</si>
  <si>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</si>
  <si>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</si>
  <si>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</si>
  <si>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</si>
  <si>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</si>
  <si>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</si>
  <si>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</si>
  <si>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</si>
  <si>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</si>
  <si>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</si>
  <si>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</si>
  <si>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</si>
  <si>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</si>
  <si>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</si>
  <si>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</si>
  <si>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</si>
  <si>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</si>
  <si>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</si>
  <si>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</si>
  <si>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</si>
  <si>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</si>
  <si>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</si>
  <si>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</si>
  <si>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</si>
  <si>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</si>
  <si>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</si>
  <si>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</si>
  <si>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</si>
  <si>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</si>
  <si>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</si>
  <si>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</si>
  <si>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</si>
  <si>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</si>
  <si>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</si>
  <si>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</si>
  <si>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</si>
  <si>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</si>
  <si>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</si>
  <si>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</si>
  <si>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</si>
  <si>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</si>
  <si>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</si>
  <si>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</si>
  <si>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</si>
  <si>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</si>
  <si>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</si>
  <si>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</si>
  <si>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</si>
  <si>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</si>
  <si>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</si>
  <si>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</si>
  <si>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</si>
  <si>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</si>
  <si>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</si>
  <si>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</si>
  <si>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</si>
  <si>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</si>
  <si>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</si>
  <si>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</si>
  <si>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</si>
  <si>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</si>
  <si>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</si>
  <si>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</si>
  <si>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</si>
  <si>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</si>
  <si>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</si>
  <si>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</si>
  <si>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</si>
  <si>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</si>
  <si>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</si>
  <si>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</si>
  <si>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</si>
  <si>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</si>
  <si>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</si>
  <si>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</si>
  <si>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</si>
  <si>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</si>
  <si>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</si>
  <si>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</si>
  <si>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</si>
  <si>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</si>
  <si>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</si>
  <si>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</si>
  <si>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</si>
  <si>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</si>
  <si>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</si>
  <si>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</si>
  <si>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</si>
  <si>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</si>
  <si>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</si>
  <si>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</si>
  <si>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</si>
  <si>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</si>
  <si>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</si>
  <si>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</si>
  <si>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</si>
  <si>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</si>
  <si>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</si>
  <si>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 xml:space="preserve">  Hombale Films</t>
  </si>
  <si>
    <t xml:space="preserve">  Vinod Chopra Films</t>
  </si>
  <si>
    <t xml:space="preserve"> Marvel Studios</t>
  </si>
  <si>
    <t xml:space="preserve">    Paramount Pictures</t>
  </si>
  <si>
    <t xml:space="preserve"> Government of West Bengal  </t>
  </si>
  <si>
    <t>Column2</t>
  </si>
  <si>
    <t>Doctor Strange in the Multiverse of Madness</t>
  </si>
  <si>
    <t>Dilwale Dulhania Le Jayenge</t>
  </si>
  <si>
    <t>Kabhi Khushi Kabhie Gham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</si>
  <si>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</si>
  <si>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</si>
  <si>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</si>
  <si>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</si>
  <si>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</si>
  <si>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</si>
  <si>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</si>
  <si>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</si>
  <si>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</si>
  <si>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</si>
  <si>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</si>
  <si>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Pather Panchali</t>
  </si>
  <si>
    <t>Taare Zameen Par</t>
  </si>
  <si>
    <t>Munna Bhai M.B.B.S.</t>
  </si>
  <si>
    <t>PK</t>
  </si>
  <si>
    <t>Sanju</t>
  </si>
  <si>
    <t>RRR</t>
  </si>
  <si>
    <t>The Kashmir Files</t>
  </si>
  <si>
    <t>Bajrangi Bhaijaan</t>
  </si>
  <si>
    <t>Race 3</t>
  </si>
  <si>
    <t>Shershaah</t>
  </si>
  <si>
    <t>Column3</t>
  </si>
  <si>
    <t>K.G.F</t>
  </si>
  <si>
    <t xml:space="preserve"> Chapter 2</t>
  </si>
  <si>
    <t>Thor</t>
  </si>
  <si>
    <t xml:space="preserve"> The Dark World </t>
  </si>
  <si>
    <t xml:space="preserve"> Ragnarok </t>
  </si>
  <si>
    <t xml:space="preserve"> Love and Thunder </t>
  </si>
  <si>
    <t xml:space="preserve"> 3 Idiots</t>
  </si>
  <si>
    <t xml:space="preserve">Bajirao Mastani </t>
  </si>
  <si>
    <t xml:space="preserve"> The Shawshank Redemption</t>
  </si>
  <si>
    <t>Avengers</t>
  </si>
  <si>
    <t xml:space="preserve"> Endgame</t>
  </si>
  <si>
    <t xml:space="preserve"> Infinity War</t>
  </si>
  <si>
    <t>Pushpa</t>
  </si>
  <si>
    <t xml:space="preserve"> The Rise - Part 1</t>
  </si>
  <si>
    <t>Baahubali</t>
  </si>
  <si>
    <t xml:space="preserve"> The Beginning</t>
  </si>
  <si>
    <t>Captain America</t>
  </si>
  <si>
    <t xml:space="preserve"> The First Avenger</t>
  </si>
  <si>
    <t xml:space="preserve"> The Winter Soldier</t>
  </si>
  <si>
    <t>BUDGET</t>
  </si>
  <si>
    <t>BUDGET2</t>
  </si>
  <si>
    <t>budget3</t>
  </si>
  <si>
    <t>Column4</t>
  </si>
  <si>
    <t>budget4</t>
  </si>
  <si>
    <t>budget5</t>
  </si>
  <si>
    <t>revenue2</t>
  </si>
  <si>
    <t>unit2</t>
  </si>
  <si>
    <t>currency2</t>
  </si>
  <si>
    <t xml:space="preserve">trim fn </t>
  </si>
  <si>
    <t>currency3</t>
  </si>
  <si>
    <t>currency22</t>
  </si>
  <si>
    <t>revenue3</t>
  </si>
  <si>
    <t>unit3</t>
  </si>
  <si>
    <t xml:space="preserve">index </t>
  </si>
  <si>
    <t>financials</t>
  </si>
  <si>
    <t>budget(mln)</t>
  </si>
  <si>
    <t>revenue(mln)</t>
  </si>
  <si>
    <t>budget(usd)</t>
  </si>
  <si>
    <t>revenue(usd)</t>
  </si>
  <si>
    <t>TOTAL BUDGET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</si>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</sst>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3" borderId="1" applyNumberFormat="0" applyAlignment="0" applyProtection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NumberFormat="1"/>
    <xf numFmtId="164" fontId="3" fillId="0" borderId="0" xfId="0" applyNumberFormat="1" applyFont="1"/>
    <xf numFmtId="0" fontId="3" fillId="4" borderId="0" xfId="0" applyFont="1" applyFill="1"/>
    <xf numFmtId="0" fontId="2" fillId="3" borderId="1" xfId="1" applyNumberFormat="1"/>
    <xf numFmtId="0" fontId="2" fillId="2" borderId="1" xfId="1" applyFill="1"/>
    <xf numFmtId="164" fontId="2" fillId="2" borderId="1" xfId="1" applyNumberFormat="1" applyFill="1"/>
  </cellXfs>
  <cellStyles count="2">
    <cellStyle name="Calculation" xfId="1" builtinId="22"/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AB40" totalsRowShown="0" headerRowDxfId="25">
  <autoFilter ref="A1:AB40" xr:uid="{6A7FE39D-5614-4A7F-89B7-C167ABC0A251}">
    <filterColumn colId="4">
      <filters>
        <filter val="1.9"/>
        <filter val="6.8"/>
        <filter val="6.9"/>
        <filter val="7"/>
        <filter val="7.2"/>
        <filter val="7.4"/>
        <filter val="7.6"/>
        <filter val="7.8"/>
        <filter val="7.9"/>
        <filter val="8"/>
        <filter val="8.1"/>
        <filter val="8.2"/>
        <filter val="8.3"/>
        <filter val="8.4"/>
        <filter val="8.5"/>
        <filter val="8.6"/>
        <filter val="8.8"/>
        <filter val="9"/>
        <filter val="9.2"/>
        <filter val="9.3"/>
      </filters>
    </filterColumn>
  </autoFilter>
  <tableColumns count="28">
    <tableColumn id="1" xr3:uid="{5E453F0D-B27C-433C-BF11-BA3FE1A6822E}" name="movie_id"/>
    <tableColumn id="8" xr3:uid="{94F3A0AE-1E01-4132-A040-9F8ECC584E65}" name="Column2"/>
    <tableColumn id="3" xr3:uid="{A73DC6E7-A5B7-4D92-B13E-587CFA363BFA}" name="Column3"/>
    <tableColumn id="4" xr3:uid="{DFE5EBBB-5DEF-4AB9-A5C9-802FC0AD1B5B}" name="release_year"/>
    <tableColumn id="5" xr3:uid="{D500D219-E618-40DD-B4AA-E390F996EF1E}" name="imdb_rating"/>
    <tableColumn id="2" xr3:uid="{F6E98715-1E9A-4304-AC65-DA6DAEB0A815}" name="trim fn " dataDxfId="20">
      <calculatedColumnFormula>TRIM(Movies[[#This Row],[studio]])</calculatedColumnFormula>
    </tableColumn>
    <tableColumn id="6" xr3:uid="{D06057E5-53B4-474F-BA7C-D7BC731BE502}" name="studio"/>
    <tableColumn id="7" xr3:uid="{70C8CD53-1FFB-4649-B796-093E6560F8C9}" name="language_id"/>
    <tableColumn id="10" xr3:uid="{221FD99A-88EF-44B6-9E64-EB4780B52E8C}" name="BUDGET" dataDxfId="19">
      <calculatedColumnFormula>INDEX(financials!B:B,MATCH(VALUE(LEFT(Movies[[#This Row],[movie_id]],3)),financials!A:A,0))</calculatedColumnFormula>
    </tableColumn>
    <tableColumn id="11" xr3:uid="{5E53BE0C-9924-48C3-BE09-44C5C6ECF0C2}" name="BUDGET2" dataDxfId="18">
      <calculatedColumnFormula>INDEX(financials!B:B,MATCH(Movies[movie_id],financials!B:B,0))</calculatedColumnFormula>
    </tableColumn>
    <tableColumn id="12" xr3:uid="{2D811800-F899-4612-9791-F66C2D5718F6}" name="budget3" dataDxfId="9">
      <calculatedColumnFormula>INDEX(financials!B:B,MATCH(Movies[[#This Row],[movie_id]],financials!A:A,0))</calculatedColumnFormula>
    </tableColumn>
    <tableColumn id="13" xr3:uid="{237E1403-B422-40B7-B5C0-C75029ED4165}" name="revenue" dataDxfId="7">
      <calculatedColumnFormula>INDEX(financials!C:C,MATCH(Movies[[#This Row],[movie_id]],financials!A:A,0))</calculatedColumnFormula>
    </tableColumn>
    <tableColumn id="14" xr3:uid="{49CA05D5-9F80-4A81-BF69-05F89E325AAA}" name="unit" dataDxfId="4">
      <calculatedColumnFormula>INDEX(financials!D:D,MATCH(Movies[[#This Row],[movie_id]],financials!A:A,0))</calculatedColumnFormula>
    </tableColumn>
    <tableColumn id="15" xr3:uid="{BDA4FACC-7E18-48F9-8BFD-3093A37F14DB}" name="currency" dataDxfId="3">
      <calculatedColumnFormula>INDEX(financials!E:E,MATCH(Movies[[#This Row],[movie_id]],financials!A:A,0))</calculatedColumnFormula>
    </tableColumn>
    <tableColumn id="19" xr3:uid="{16A9AFFC-FEA8-46E2-A492-A0488DC402D4}" name="Column4" dataDxfId="16"/>
    <tableColumn id="17" xr3:uid="{EFAE642D-E912-4100-B8DC-6E2A368C3BE9}" name="budget4" dataDxfId="8">
      <calculatedColumnFormula>INDEX(Financials[],MATCH(Movies[[#This Row],[movie_id]:[movie_id]],Financials[[movie_id]:[movie_id]],0),MATCH("budget",Financials[#Headers],0))</calculatedColumnFormula>
    </tableColumn>
    <tableColumn id="18" xr3:uid="{DBA3FCA5-0504-4D7E-BE0D-8D8343F89524}" name="revenue2" dataDxfId="17">
      <calculatedColumnFormula>INDEX(Financials[],MATCH(Movies[[#This Row],[movie_id]:[movie_id]],Financials[[movie_id]:[movie_id]],0),MATCH("revenue",Financials[#Headers],0))</calculatedColumnFormula>
    </tableColumn>
    <tableColumn id="20" xr3:uid="{13353EF3-A170-45DA-98C6-DDF75CE4F979}" name="unit2" dataDxfId="15">
      <calculatedColumnFormula>INDEX(Financials[],MATCH(Movies[[#This Row],[movie_id]:[movie_id]],Financials[[movie_id]:[movie_id]],0),MATCH("unit",Financials[#Headers],0))</calculatedColumnFormula>
    </tableColumn>
    <tableColumn id="21" xr3:uid="{2DCDE46B-2118-430A-9E00-27AC60CB3157}" name="currency2" dataDxfId="14">
      <calculatedColumnFormula>INDEX(Financials[],MATCH(Movies[[#This Row],[movie_id]:[movie_id]],Financials[[movie_id]:[movie_id]],0),MATCH("currency",Financials[#Headers],0))</calculatedColumnFormula>
    </tableColumn>
    <tableColumn id="27" xr3:uid="{708087ED-6CF8-49B9-BCD0-A772428398BD}" name="currency22" dataDxfId="12"/>
    <tableColumn id="22" xr3:uid="{6076DCFB-C8D8-4F25-87F4-A6DECDF4A4F4}" name="revenue3" dataDxfId="13">
      <calculatedColumnFormula>INDEX(financials!A:D,MATCH(Movies[[#This Row],[movie_id]],financials!A:A,0), MATCH("revenue",financials!A:D,0))</calculatedColumnFormula>
    </tableColumn>
    <tableColumn id="26" xr3:uid="{235BB811-8849-4D0D-B556-DF9365A04FFA}" name="budget5" dataDxfId="11">
      <calculatedColumnFormula>INDEX(financials!$A:$D,MATCH(Movies[[#This Row],[movie_id]],financials!$A:$A,0), MATCH("budget",financials!$1:$1,0))</calculatedColumnFormula>
    </tableColumn>
    <tableColumn id="28" xr3:uid="{65DE2858-67F2-4705-9861-F66DBDFB4111}" name="unit3" dataDxfId="10">
      <calculatedColumnFormula>INDEX(financials!$A:$D,MATCH(Movies[[#This Row],[movie_id]],financials!$A:$A,0), MATCH("unit",financials!$1:$1,0))</calculatedColumnFormula>
    </tableColumn>
    <tableColumn id="35" xr3:uid="{828DA001-ACA9-4682-88DF-623FB837F3B8}" name="currency3" dataDxfId="2">
      <calculatedColumnFormula>INDEX(financials!$A:$D,MATCH(Movies[[#This Row],[movie_id]],financials!$A:$A,0), MATCH("currency",financials!$1:$1,0))</calculatedColumnFormula>
    </tableColumn>
    <tableColumn id="31" xr3:uid="{3AD0DE9B-2E4B-443E-9079-043A57E6C141}" name="budget(mln)" dataDxfId="6">
      <calculatedColumnFormula>IF(Movies[[#This Row],[unit3]]="Billions",Movies[[#This Row],[budget5]]*1000,Movies[[#This Row],[budget5]])</calculatedColumnFormula>
    </tableColumn>
    <tableColumn id="32" xr3:uid="{5EB9CCDD-75DD-44B2-9195-6A1FABD8412F}" name="revenue(mln)" dataDxfId="5">
      <calculatedColumnFormula>IF(Movies[[#This Row],[unit3]]="Billions",Movies[[#This Row],[revenue3]]*1000,Movies[[#This Row],[revenue3]])</calculatedColumnFormula>
    </tableColumn>
    <tableColumn id="33" xr3:uid="{E04FDE94-D917-4E76-BDED-66B37C3FC7CA}" name="budget(usd)" dataDxfId="0">
      <calculatedColumnFormula>IF(Movies[[#This Row],[currency2]]="INR",Movies[[#This Row],[budget(mln)]]/92,Movies[[#This Row],[budget(mln)]])</calculatedColumnFormula>
    </tableColumn>
    <tableColumn id="34" xr3:uid="{5085E17A-D95C-4426-81EB-7ADF52F06E15}" name="revenue(usd)" dataDxfId="1">
      <calculatedColumnFormula>IF(Movies[[#This Row],[currency2]]="INR",Movies[[#This Row],[revenue(mln)]]/92,Movies[[#This Row],[revenue(mln)]])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24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23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22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21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"/>
  <sheetViews>
    <sheetView tabSelected="1" topLeftCell="S1" zoomScale="78" zoomScaleNormal="78" workbookViewId="0">
      <selection activeCell="Z42" sqref="Z42"/>
    </sheetView>
  </sheetViews>
  <sheetFormatPr defaultRowHeight="14.5" x14ac:dyDescent="0.35"/>
  <cols>
    <col min="1" max="1" width="15.54296875" customWidth="1"/>
    <col min="2" max="2" width="44.81640625" customWidth="1"/>
    <col min="3" max="3" width="19.08984375" customWidth="1"/>
    <col min="4" max="4" width="10.54296875" bestFit="1" customWidth="1"/>
    <col min="5" max="5" width="14.7265625" customWidth="1"/>
    <col min="6" max="6" width="21.54296875" customWidth="1"/>
    <col min="7" max="7" width="19" customWidth="1"/>
    <col min="8" max="8" width="14.7265625" customWidth="1"/>
    <col min="9" max="9" width="12.453125" customWidth="1"/>
    <col min="25" max="25" width="12.36328125" customWidth="1"/>
    <col min="26" max="26" width="14.1796875" customWidth="1"/>
    <col min="27" max="27" width="14.08984375" customWidth="1"/>
    <col min="28" max="28" width="15.6328125" customWidth="1"/>
  </cols>
  <sheetData>
    <row r="1" spans="1:28" x14ac:dyDescent="0.35">
      <c r="A1" s="4" t="s">
        <v>0</v>
      </c>
      <c r="B1" s="1" t="s">
        <v>116</v>
      </c>
      <c r="C1" s="1" t="s">
        <v>141</v>
      </c>
      <c r="D1" s="1" t="s">
        <v>1</v>
      </c>
      <c r="E1" s="1" t="s">
        <v>2</v>
      </c>
      <c r="F1" s="1" t="s">
        <v>170</v>
      </c>
      <c r="G1" s="1" t="s">
        <v>3</v>
      </c>
      <c r="H1" s="1" t="s">
        <v>4</v>
      </c>
      <c r="I1" s="1" t="s">
        <v>161</v>
      </c>
      <c r="J1" s="1" t="s">
        <v>162</v>
      </c>
      <c r="K1" s="1" t="s">
        <v>163</v>
      </c>
      <c r="L1" s="1" t="s">
        <v>25</v>
      </c>
      <c r="M1" s="1" t="s">
        <v>26</v>
      </c>
      <c r="N1" s="1" t="s">
        <v>27</v>
      </c>
      <c r="O1" s="1" t="s">
        <v>164</v>
      </c>
      <c r="P1" s="1" t="s">
        <v>165</v>
      </c>
      <c r="Q1" s="1" t="s">
        <v>167</v>
      </c>
      <c r="R1" s="1" t="s">
        <v>168</v>
      </c>
      <c r="S1" s="1" t="s">
        <v>169</v>
      </c>
      <c r="T1" s="1" t="s">
        <v>172</v>
      </c>
      <c r="U1" s="1" t="s">
        <v>173</v>
      </c>
      <c r="V1" s="1" t="s">
        <v>166</v>
      </c>
      <c r="W1" s="1" t="s">
        <v>174</v>
      </c>
      <c r="X1" s="1" t="s">
        <v>171</v>
      </c>
      <c r="Y1" s="9" t="s">
        <v>177</v>
      </c>
      <c r="Z1" s="9" t="s">
        <v>178</v>
      </c>
      <c r="AA1" s="10" t="s">
        <v>179</v>
      </c>
      <c r="AB1" s="10" t="s">
        <v>180</v>
      </c>
    </row>
    <row r="2" spans="1:28" x14ac:dyDescent="0.35">
      <c r="A2" s="3">
        <v>101</v>
      </c>
      <c r="B2" t="s">
        <v>142</v>
      </c>
      <c r="C2" t="s">
        <v>143</v>
      </c>
      <c r="D2">
        <v>2022</v>
      </c>
      <c r="E2">
        <v>8.4</v>
      </c>
      <c r="F2" t="str">
        <f>TRIM(Movies[[#This Row],[studio]])</f>
        <v>Hombale Films</v>
      </c>
      <c r="G2" t="s">
        <v>111</v>
      </c>
      <c r="H2">
        <v>3</v>
      </c>
      <c r="I2">
        <f>INDEX(financials!B:B,MATCH(VALUE(LEFT(Movies[[#This Row],[movie_id]],3)),financials!A:A,0))</f>
        <v>1</v>
      </c>
      <c r="J2">
        <f>VLOOKUP(Movies[[#This Row],[movie_id]],financials!A:C,2,FALSE)</f>
        <v>1</v>
      </c>
      <c r="K2" s="5">
        <f>INDEX(financials!B:B,MATCH(Movies[[#This Row],[movie_id]],financials!A:A,0))</f>
        <v>1</v>
      </c>
      <c r="L2" s="5">
        <f>INDEX(financials!C:C,MATCH(Movies[[#This Row],[movie_id]],financials!A:A,0))</f>
        <v>12.5</v>
      </c>
      <c r="M2" s="5" t="str">
        <f>INDEX(financials!D:D,MATCH(Movies[[#This Row],[movie_id]],financials!A:A,0))</f>
        <v>Billions</v>
      </c>
      <c r="N2" s="5" t="str">
        <f>INDEX(financials!E:E,MATCH(Movies[[#This Row],[movie_id]],financials!A:A,0))</f>
        <v>INR</v>
      </c>
      <c r="O2" s="5"/>
      <c r="P2" s="5">
        <f>INDEX(Financials[],MATCH(Movies[[#This Row],[movie_id]:[movie_id]],Financials[[movie_id]:[movie_id]],0),MATCH("budget",Financials[#Headers],0))</f>
        <v>1</v>
      </c>
      <c r="Q2" s="5">
        <f>INDEX(Financials[],MATCH(Movies[[#This Row],[movie_id]:[movie_id]],Financials[[movie_id]:[movie_id]],0),MATCH("revenue",Financials[#Headers],0))</f>
        <v>12.5</v>
      </c>
      <c r="R2" s="5" t="str">
        <f>INDEX(Financials[],MATCH(Movies[[#This Row],[movie_id]:[movie_id]],Financials[[movie_id]:[movie_id]],0),MATCH("unit",Financials[#Headers],0))</f>
        <v>Billions</v>
      </c>
      <c r="S2" s="5" t="str">
        <f>INDEX(Financials[],MATCH(Movies[[#This Row],[movie_id]:[movie_id]],Financials[[movie_id]:[movie_id]],0),MATCH("currency",Financials[#Headers],0))</f>
        <v>INR</v>
      </c>
      <c r="T2" s="5"/>
      <c r="U2" s="5">
        <f>INDEX(financials!$A:$D,MATCH(Movies[[#This Row],[movie_id]],financials!$A:$A,0), MATCH("revenue",financials!$1:$1,0))</f>
        <v>12.5</v>
      </c>
      <c r="V2" s="5">
        <f>INDEX(financials!$A:$D,MATCH(Movies[[#This Row],[movie_id]],financials!$A:$A,0), MATCH("budget",financials!$1:$1,0))</f>
        <v>1</v>
      </c>
      <c r="W2" s="5" t="str">
        <f>INDEX(financials!$A:$D,MATCH(Movies[[#This Row],[movie_id]],financials!$A:$A,0), MATCH("unit",financials!$1:$1,0))</f>
        <v>Billions</v>
      </c>
      <c r="X2" s="5" t="e">
        <f>INDEX(financials!$A:$D,MATCH(Movies[[#This Row],[movie_id]],financials!$A:$A,0), MATCH("currency",financials!$1:$1,0))</f>
        <v>#REF!</v>
      </c>
      <c r="Y2" s="8">
        <f>IF(Movies[[#This Row],[unit3]]="Billions",Movies[[#This Row],[budget5]]*1000,Movies[[#This Row],[budget5]])</f>
        <v>1000</v>
      </c>
      <c r="Z2" s="8">
        <f>IF(Movies[[#This Row],[unit3]]="Billions",Movies[[#This Row],[revenue3]]*1000,Movies[[#This Row],[revenue3]])</f>
        <v>12500</v>
      </c>
      <c r="AA2" s="8">
        <f>IF(Movies[[#This Row],[currency2]]="INR",Movies[[#This Row],[budget(mln)]]/92,Movies[[#This Row],[budget(mln)]])</f>
        <v>10.869565217391305</v>
      </c>
      <c r="AB2" s="8">
        <f>IF(Movies[[#This Row],[currency2]]="INR",Movies[[#This Row],[revenue(mln)]]/92,Movies[[#This Row],[revenue(mln)]])</f>
        <v>135.86956521739131</v>
      </c>
    </row>
    <row r="3" spans="1:28" x14ac:dyDescent="0.35">
      <c r="A3" s="3">
        <v>102</v>
      </c>
      <c r="B3" t="s">
        <v>117</v>
      </c>
      <c r="D3">
        <v>2022</v>
      </c>
      <c r="E3">
        <v>7</v>
      </c>
      <c r="F3" t="str">
        <f>TRIM(Movies[[#This Row],[studio]])</f>
        <v>Marvel Studios</v>
      </c>
      <c r="G3" t="s">
        <v>5</v>
      </c>
      <c r="H3">
        <v>5</v>
      </c>
      <c r="I3">
        <f>INDEX(financials!B:B,MATCH(VALUE(LEFT(Movies[[#This Row],[movie_id]],3)),financials!A:A,0))</f>
        <v>200</v>
      </c>
      <c r="J3">
        <f>VLOOKUP(Movies[[#This Row],[movie_id]],financials!A:C,2,FALSE)</f>
        <v>200</v>
      </c>
      <c r="K3" s="5">
        <f>INDEX(financials!B:B,MATCH(Movies[[#This Row],[movie_id]],financials!A:A,0))</f>
        <v>200</v>
      </c>
      <c r="L3" s="5">
        <f>INDEX(financials!C:C,MATCH(Movies[[#This Row],[movie_id]],financials!A:A,0))</f>
        <v>954.8</v>
      </c>
      <c r="M3" s="5" t="str">
        <f>INDEX(financials!D:D,MATCH(Movies[[#This Row],[movie_id]],financials!A:A,0))</f>
        <v>Millions</v>
      </c>
      <c r="N3" s="5" t="str">
        <f>INDEX(financials!E:E,MATCH(Movies[[#This Row],[movie_id]],financials!A:A,0))</f>
        <v>USD</v>
      </c>
      <c r="O3" s="5"/>
      <c r="P3" s="5">
        <f>INDEX(Financials[],MATCH(Movies[[#This Row],[movie_id]:[movie_id]],Financials[[movie_id]:[movie_id]],0),MATCH("budget",Financials[#Headers],0))</f>
        <v>200</v>
      </c>
      <c r="Q3" s="5">
        <f>INDEX(Financials[],MATCH(Movies[[#This Row],[movie_id]:[movie_id]],Financials[[movie_id]:[movie_id]],0),MATCH("revenue",Financials[#Headers],0))</f>
        <v>954.8</v>
      </c>
      <c r="R3" s="5" t="str">
        <f>INDEX(Financials[],MATCH(Movies[[#This Row],[movie_id]:[movie_id]],Financials[[movie_id]:[movie_id]],0),MATCH("unit",Financials[#Headers],0))</f>
        <v>Millions</v>
      </c>
      <c r="S3" s="5" t="str">
        <f>INDEX(Financials[],MATCH(Movies[[#This Row],[movie_id]:[movie_id]],Financials[[movie_id]:[movie_id]],0),MATCH("currency",Financials[#Headers],0))</f>
        <v>USD</v>
      </c>
      <c r="T3" s="5"/>
      <c r="U3" s="5">
        <f>INDEX(financials!$A:$D,MATCH(Movies[[#This Row],[movie_id]],financials!$A:$A,0), MATCH("revenue",financials!$1:$1,0))</f>
        <v>954.8</v>
      </c>
      <c r="V3" s="5">
        <f>INDEX(financials!$A:$D,MATCH(Movies[[#This Row],[movie_id]],financials!$A:$A,0), MATCH("budget",financials!$1:$1,0))</f>
        <v>200</v>
      </c>
      <c r="W3" s="5" t="str">
        <f>INDEX(financials!$A:$D,MATCH(Movies[[#This Row],[movie_id]],financials!$A:$A,0), MATCH("unit",financials!$1:$1,0))</f>
        <v>Millions</v>
      </c>
      <c r="X3" s="5" t="e">
        <f>INDEX(financials!$A:$D,MATCH(Movies[[#This Row],[movie_id]],financials!$A:$A,0), MATCH("currency",financials!$1:$1,0))</f>
        <v>#REF!</v>
      </c>
      <c r="Y3" s="8">
        <f>IF(Movies[[#This Row],[unit3]]="Billions",Movies[[#This Row],[budget5]]*1000,Movies[[#This Row],[budget5]])</f>
        <v>200</v>
      </c>
      <c r="Z3" s="8">
        <f>IF(Movies[[#This Row],[unit3]]="Billions",Movies[[#This Row],[revenue3]]*1000,Movies[[#This Row],[revenue3]])</f>
        <v>954.8</v>
      </c>
      <c r="AA3" s="8">
        <f>IF(Movies[[#This Row],[currency2]]="INR",Movies[[#This Row],[budget(mln)]]/92,Movies[[#This Row],[budget(mln)]])</f>
        <v>200</v>
      </c>
      <c r="AB3" s="8">
        <f>IF(Movies[[#This Row],[currency2]]="INR",Movies[[#This Row],[revenue(mln)]]/92,Movies[[#This Row],[revenue(mln)]])</f>
        <v>954.8</v>
      </c>
    </row>
    <row r="4" spans="1:28" x14ac:dyDescent="0.35">
      <c r="A4" s="3">
        <v>103</v>
      </c>
      <c r="B4" t="s">
        <v>144</v>
      </c>
      <c r="C4" t="s">
        <v>145</v>
      </c>
      <c r="D4">
        <v>2013</v>
      </c>
      <c r="E4">
        <v>6.8</v>
      </c>
      <c r="F4" t="str">
        <f>TRIM(Movies[[#This Row],[studio]])</f>
        <v>Marvel Studios</v>
      </c>
      <c r="G4" t="s">
        <v>5</v>
      </c>
      <c r="H4">
        <v>5</v>
      </c>
      <c r="I4">
        <f>INDEX(financials!B:B,MATCH(VALUE(LEFT(Movies[[#This Row],[movie_id]],3)),financials!A:A,0))</f>
        <v>165</v>
      </c>
      <c r="J4">
        <f>VLOOKUP(Movies[[#This Row],[movie_id]],financials!A:C,2,FALSE)</f>
        <v>165</v>
      </c>
      <c r="K4" s="5">
        <f>INDEX(financials!B:B,MATCH(Movies[[#This Row],[movie_id]],financials!A:A,0))</f>
        <v>165</v>
      </c>
      <c r="L4" s="5">
        <f>INDEX(financials!C:C,MATCH(Movies[[#This Row],[movie_id]],financials!A:A,0))</f>
        <v>644.79999999999995</v>
      </c>
      <c r="M4" s="5" t="str">
        <f>INDEX(financials!D:D,MATCH(Movies[[#This Row],[movie_id]],financials!A:A,0))</f>
        <v>Millions</v>
      </c>
      <c r="N4" s="5" t="str">
        <f>INDEX(financials!E:E,MATCH(Movies[[#This Row],[movie_id]],financials!A:A,0))</f>
        <v>USD</v>
      </c>
      <c r="O4" s="5"/>
      <c r="P4" s="5">
        <f>INDEX(Financials[],MATCH(Movies[[#This Row],[movie_id]:[movie_id]],Financials[[movie_id]:[movie_id]],0),MATCH("budget",Financials[#Headers],0))</f>
        <v>165</v>
      </c>
      <c r="Q4" s="5">
        <f>INDEX(Financials[],MATCH(Movies[[#This Row],[movie_id]:[movie_id]],Financials[[movie_id]:[movie_id]],0),MATCH("revenue",Financials[#Headers],0))</f>
        <v>644.79999999999995</v>
      </c>
      <c r="R4" s="5" t="str">
        <f>INDEX(Financials[],MATCH(Movies[[#This Row],[movie_id]:[movie_id]],Financials[[movie_id]:[movie_id]],0),MATCH("unit",Financials[#Headers],0))</f>
        <v>Millions</v>
      </c>
      <c r="S4" s="5" t="str">
        <f>INDEX(Financials[],MATCH(Movies[[#This Row],[movie_id]:[movie_id]],Financials[[movie_id]:[movie_id]],0),MATCH("currency",Financials[#Headers],0))</f>
        <v>USD</v>
      </c>
      <c r="T4" s="5"/>
      <c r="U4" s="5">
        <f>INDEX(financials!$A:$D,MATCH(Movies[[#This Row],[movie_id]],financials!$A:$A,0), MATCH("revenue",financials!$1:$1,0))</f>
        <v>644.79999999999995</v>
      </c>
      <c r="V4" s="5">
        <f>INDEX(financials!$A:$D,MATCH(Movies[[#This Row],[movie_id]],financials!$A:$A,0), MATCH("budget",financials!$1:$1,0))</f>
        <v>165</v>
      </c>
      <c r="W4" s="5" t="str">
        <f>INDEX(financials!$A:$D,MATCH(Movies[[#This Row],[movie_id]],financials!$A:$A,0), MATCH("unit",financials!$1:$1,0))</f>
        <v>Millions</v>
      </c>
      <c r="X4" s="5" t="e">
        <f>INDEX(financials!$A:$D,MATCH(Movies[[#This Row],[movie_id]],financials!$A:$A,0), MATCH("currency",financials!$1:$1,0))</f>
        <v>#REF!</v>
      </c>
      <c r="Y4" s="8">
        <f>IF(Movies[[#This Row],[unit3]]="Billions",Movies[[#This Row],[budget5]]*1000,Movies[[#This Row],[budget5]])</f>
        <v>165</v>
      </c>
      <c r="Z4" s="8">
        <f>IF(Movies[[#This Row],[unit3]]="Billions",Movies[[#This Row],[revenue3]]*1000,Movies[[#This Row],[revenue3]])</f>
        <v>644.79999999999995</v>
      </c>
      <c r="AA4" s="8">
        <f>IF(Movies[[#This Row],[currency2]]="INR",Movies[[#This Row],[budget(mln)]]/92,Movies[[#This Row],[budget(mln)]])</f>
        <v>165</v>
      </c>
      <c r="AB4" s="8">
        <f>IF(Movies[[#This Row],[currency2]]="INR",Movies[[#This Row],[revenue(mln)]]/92,Movies[[#This Row],[revenue(mln)]])</f>
        <v>644.79999999999995</v>
      </c>
    </row>
    <row r="5" spans="1:28" x14ac:dyDescent="0.35">
      <c r="A5" s="3">
        <v>104</v>
      </c>
      <c r="B5" t="s">
        <v>144</v>
      </c>
      <c r="C5" t="s">
        <v>146</v>
      </c>
      <c r="D5">
        <v>2017</v>
      </c>
      <c r="E5">
        <v>7.9</v>
      </c>
      <c r="F5" t="str">
        <f>TRIM(Movies[[#This Row],[studio]])</f>
        <v>Marvel Studios</v>
      </c>
      <c r="G5" t="s">
        <v>113</v>
      </c>
      <c r="H5">
        <v>5</v>
      </c>
      <c r="I5">
        <f>INDEX(financials!B:B,MATCH(VALUE(LEFT(Movies[[#This Row],[movie_id]],3)),financials!A:A,0))</f>
        <v>180</v>
      </c>
      <c r="J5">
        <f>VLOOKUP(Movies[[#This Row],[movie_id]],financials!A:C,2,FALSE)</f>
        <v>180</v>
      </c>
      <c r="K5" s="5">
        <f>INDEX(financials!B:B,MATCH(Movies[[#This Row],[movie_id]],financials!A:A,0))</f>
        <v>180</v>
      </c>
      <c r="L5" s="5">
        <f>INDEX(financials!C:C,MATCH(Movies[[#This Row],[movie_id]],financials!A:A,0))</f>
        <v>854</v>
      </c>
      <c r="M5" s="5" t="str">
        <f>INDEX(financials!D:D,MATCH(Movies[[#This Row],[movie_id]],financials!A:A,0))</f>
        <v>Millions</v>
      </c>
      <c r="N5" s="5" t="str">
        <f>INDEX(financials!E:E,MATCH(Movies[[#This Row],[movie_id]],financials!A:A,0))</f>
        <v>USD</v>
      </c>
      <c r="O5" s="5"/>
      <c r="P5" s="5">
        <f>INDEX(Financials[],MATCH(Movies[[#This Row],[movie_id]:[movie_id]],Financials[[movie_id]:[movie_id]],0),MATCH("budget",Financials[#Headers],0))</f>
        <v>180</v>
      </c>
      <c r="Q5" s="5">
        <f>INDEX(Financials[],MATCH(Movies[[#This Row],[movie_id]:[movie_id]],Financials[[movie_id]:[movie_id]],0),MATCH("revenue",Financials[#Headers],0))</f>
        <v>854</v>
      </c>
      <c r="R5" s="5" t="str">
        <f>INDEX(Financials[],MATCH(Movies[[#This Row],[movie_id]:[movie_id]],Financials[[movie_id]:[movie_id]],0),MATCH("unit",Financials[#Headers],0))</f>
        <v>Millions</v>
      </c>
      <c r="S5" s="5" t="str">
        <f>INDEX(Financials[],MATCH(Movies[[#This Row],[movie_id]:[movie_id]],Financials[[movie_id]:[movie_id]],0),MATCH("currency",Financials[#Headers],0))</f>
        <v>USD</v>
      </c>
      <c r="T5" s="5"/>
      <c r="U5" s="5">
        <f>INDEX(financials!$A:$D,MATCH(Movies[[#This Row],[movie_id]],financials!$A:$A,0), MATCH("revenue",financials!$1:$1,0))</f>
        <v>854</v>
      </c>
      <c r="V5" s="5">
        <f>INDEX(financials!$A:$D,MATCH(Movies[[#This Row],[movie_id]],financials!$A:$A,0), MATCH("budget",financials!$1:$1,0))</f>
        <v>180</v>
      </c>
      <c r="W5" s="5" t="str">
        <f>INDEX(financials!$A:$D,MATCH(Movies[[#This Row],[movie_id]],financials!$A:$A,0), MATCH("unit",financials!$1:$1,0))</f>
        <v>Millions</v>
      </c>
      <c r="X5" s="5" t="e">
        <f>INDEX(financials!$A:$D,MATCH(Movies[[#This Row],[movie_id]],financials!$A:$A,0), MATCH("currency",financials!$1:$1,0))</f>
        <v>#REF!</v>
      </c>
      <c r="Y5" s="8">
        <f>IF(Movies[[#This Row],[unit3]]="Billions",Movies[[#This Row],[budget5]]*1000,Movies[[#This Row],[budget5]])</f>
        <v>180</v>
      </c>
      <c r="Z5" s="8">
        <f>IF(Movies[[#This Row],[unit3]]="Billions",Movies[[#This Row],[revenue3]]*1000,Movies[[#This Row],[revenue3]])</f>
        <v>854</v>
      </c>
      <c r="AA5" s="8">
        <f>IF(Movies[[#This Row],[currency2]]="INR",Movies[[#This Row],[budget(mln)]]/92,Movies[[#This Row],[budget(mln)]])</f>
        <v>180</v>
      </c>
      <c r="AB5" s="8">
        <f>IF(Movies[[#This Row],[currency2]]="INR",Movies[[#This Row],[revenue(mln)]]/92,Movies[[#This Row],[revenue(mln)]])</f>
        <v>854</v>
      </c>
    </row>
    <row r="6" spans="1:28" x14ac:dyDescent="0.35">
      <c r="A6" s="3">
        <v>105</v>
      </c>
      <c r="B6" t="s">
        <v>144</v>
      </c>
      <c r="C6" t="s">
        <v>147</v>
      </c>
      <c r="D6">
        <v>2022</v>
      </c>
      <c r="E6">
        <v>6.8</v>
      </c>
      <c r="F6" t="str">
        <f>TRIM(Movies[[#This Row],[studio]])</f>
        <v>Marvel Studios</v>
      </c>
      <c r="G6" t="s">
        <v>5</v>
      </c>
      <c r="H6">
        <v>5</v>
      </c>
      <c r="I6">
        <f>INDEX(financials!B:B,MATCH(VALUE(LEFT(Movies[[#This Row],[movie_id]],3)),financials!A:A,0))</f>
        <v>250</v>
      </c>
      <c r="J6">
        <f>VLOOKUP(Movies[[#This Row],[movie_id]],financials!A:C,2,FALSE)</f>
        <v>250</v>
      </c>
      <c r="K6" s="5">
        <f>INDEX(financials!B:B,MATCH(Movies[[#This Row],[movie_id]],financials!A:A,0))</f>
        <v>250</v>
      </c>
      <c r="L6" s="5">
        <f>INDEX(financials!C:C,MATCH(Movies[[#This Row],[movie_id]],financials!A:A,0))</f>
        <v>670</v>
      </c>
      <c r="M6" s="5" t="str">
        <f>INDEX(financials!D:D,MATCH(Movies[[#This Row],[movie_id]],financials!A:A,0))</f>
        <v>Millions</v>
      </c>
      <c r="N6" s="5" t="str">
        <f>INDEX(financials!E:E,MATCH(Movies[[#This Row],[movie_id]],financials!A:A,0))</f>
        <v>USD</v>
      </c>
      <c r="O6" s="5"/>
      <c r="P6" s="5">
        <f>INDEX(Financials[],MATCH(Movies[[#This Row],[movie_id]:[movie_id]],Financials[[movie_id]:[movie_id]],0),MATCH("budget",Financials[#Headers],0))</f>
        <v>250</v>
      </c>
      <c r="Q6" s="5">
        <f>INDEX(Financials[],MATCH(Movies[[#This Row],[movie_id]:[movie_id]],Financials[[movie_id]:[movie_id]],0),MATCH("revenue",Financials[#Headers],0))</f>
        <v>670</v>
      </c>
      <c r="R6" s="5" t="str">
        <f>INDEX(Financials[],MATCH(Movies[[#This Row],[movie_id]:[movie_id]],Financials[[movie_id]:[movie_id]],0),MATCH("unit",Financials[#Headers],0))</f>
        <v>Millions</v>
      </c>
      <c r="S6" s="5" t="str">
        <f>INDEX(Financials[],MATCH(Movies[[#This Row],[movie_id]:[movie_id]],Financials[[movie_id]:[movie_id]],0),MATCH("currency",Financials[#Headers],0))</f>
        <v>USD</v>
      </c>
      <c r="T6" s="5"/>
      <c r="U6" s="5">
        <f>INDEX(financials!$A:$D,MATCH(Movies[[#This Row],[movie_id]],financials!$A:$A,0), MATCH("revenue",financials!$1:$1,0))</f>
        <v>670</v>
      </c>
      <c r="V6" s="5">
        <f>INDEX(financials!$A:$D,MATCH(Movies[[#This Row],[movie_id]],financials!$A:$A,0), MATCH("budget",financials!$1:$1,0))</f>
        <v>250</v>
      </c>
      <c r="W6" s="5" t="str">
        <f>INDEX(financials!$A:$D,MATCH(Movies[[#This Row],[movie_id]],financials!$A:$A,0), MATCH("unit",financials!$1:$1,0))</f>
        <v>Millions</v>
      </c>
      <c r="X6" s="5" t="e">
        <f>INDEX(financials!$A:$D,MATCH(Movies[[#This Row],[movie_id]],financials!$A:$A,0), MATCH("currency",financials!$1:$1,0))</f>
        <v>#REF!</v>
      </c>
      <c r="Y6" s="8">
        <f>IF(Movies[[#This Row],[unit3]]="Billions",Movies[[#This Row],[budget5]]*1000,Movies[[#This Row],[budget5]])</f>
        <v>250</v>
      </c>
      <c r="Z6" s="8">
        <f>IF(Movies[[#This Row],[unit3]]="Billions",Movies[[#This Row],[revenue3]]*1000,Movies[[#This Row],[revenue3]])</f>
        <v>670</v>
      </c>
      <c r="AA6" s="8">
        <f>IF(Movies[[#This Row],[currency2]]="INR",Movies[[#This Row],[budget(mln)]]/92,Movies[[#This Row],[budget(mln)]])</f>
        <v>250</v>
      </c>
      <c r="AB6" s="8">
        <f>IF(Movies[[#This Row],[currency2]]="INR",Movies[[#This Row],[revenue(mln)]]/92,Movies[[#This Row],[revenue(mln)]])</f>
        <v>670</v>
      </c>
    </row>
    <row r="7" spans="1:28" x14ac:dyDescent="0.35">
      <c r="A7" s="3">
        <v>107</v>
      </c>
      <c r="B7" t="s">
        <v>118</v>
      </c>
      <c r="D7">
        <v>1995</v>
      </c>
      <c r="E7">
        <v>8</v>
      </c>
      <c r="F7" t="str">
        <f>TRIM(Movies[[#This Row],[studio]])</f>
        <v>Yash Raj Films</v>
      </c>
      <c r="G7" t="s">
        <v>6</v>
      </c>
      <c r="H7">
        <v>1</v>
      </c>
      <c r="I7">
        <f>INDEX(financials!B:B,MATCH(VALUE(LEFT(Movies[[#This Row],[movie_id]],3)),financials!A:A,0))</f>
        <v>400</v>
      </c>
      <c r="J7">
        <f>VLOOKUP(Movies[[#This Row],[movie_id]],financials!A:C,2,FALSE)</f>
        <v>400</v>
      </c>
      <c r="K7" s="5">
        <f>INDEX(financials!B:B,MATCH(Movies[[#This Row],[movie_id]],financials!A:A,0))</f>
        <v>400</v>
      </c>
      <c r="L7" s="5">
        <f>INDEX(financials!C:C,MATCH(Movies[[#This Row],[movie_id]],financials!A:A,0))</f>
        <v>2000</v>
      </c>
      <c r="M7" s="5" t="str">
        <f>INDEX(financials!D:D,MATCH(Movies[[#This Row],[movie_id]],financials!A:A,0))</f>
        <v>Millions</v>
      </c>
      <c r="N7" s="5" t="str">
        <f>INDEX(financials!E:E,MATCH(Movies[[#This Row],[movie_id]],financials!A:A,0))</f>
        <v>INR</v>
      </c>
      <c r="O7" s="5"/>
      <c r="P7" s="5">
        <f>INDEX(Financials[],MATCH(Movies[[#This Row],[movie_id]:[movie_id]],Financials[[movie_id]:[movie_id]],0),MATCH("budget",Financials[#Headers],0))</f>
        <v>400</v>
      </c>
      <c r="Q7" s="5">
        <f>INDEX(Financials[],MATCH(Movies[[#This Row],[movie_id]:[movie_id]],Financials[[movie_id]:[movie_id]],0),MATCH("revenue",Financials[#Headers],0))</f>
        <v>2000</v>
      </c>
      <c r="R7" s="5" t="str">
        <f>INDEX(Financials[],MATCH(Movies[[#This Row],[movie_id]:[movie_id]],Financials[[movie_id]:[movie_id]],0),MATCH("unit",Financials[#Headers],0))</f>
        <v>Millions</v>
      </c>
      <c r="S7" s="5" t="str">
        <f>INDEX(Financials[],MATCH(Movies[[#This Row],[movie_id]:[movie_id]],Financials[[movie_id]:[movie_id]],0),MATCH("currency",Financials[#Headers],0))</f>
        <v>INR</v>
      </c>
      <c r="T7" s="5"/>
      <c r="U7" s="5">
        <f>INDEX(financials!$A:$D,MATCH(Movies[[#This Row],[movie_id]],financials!$A:$A,0), MATCH("revenue",financials!$1:$1,0))</f>
        <v>2000</v>
      </c>
      <c r="V7" s="5">
        <f>INDEX(financials!$A:$D,MATCH(Movies[[#This Row],[movie_id]],financials!$A:$A,0), MATCH("budget",financials!$1:$1,0))</f>
        <v>400</v>
      </c>
      <c r="W7" s="5" t="str">
        <f>INDEX(financials!$A:$D,MATCH(Movies[[#This Row],[movie_id]],financials!$A:$A,0), MATCH("unit",financials!$1:$1,0))</f>
        <v>Millions</v>
      </c>
      <c r="X7" s="5" t="e">
        <f>INDEX(financials!$A:$D,MATCH(Movies[[#This Row],[movie_id]],financials!$A:$A,0), MATCH("currency",financials!$1:$1,0))</f>
        <v>#REF!</v>
      </c>
      <c r="Y7" s="8">
        <f>IF(Movies[[#This Row],[unit3]]="Billions",Movies[[#This Row],[budget5]]*1000,Movies[[#This Row],[budget5]])</f>
        <v>400</v>
      </c>
      <c r="Z7" s="8">
        <f>IF(Movies[[#This Row],[unit3]]="Billions",Movies[[#This Row],[revenue3]]*1000,Movies[[#This Row],[revenue3]])</f>
        <v>2000</v>
      </c>
      <c r="AA7" s="8">
        <f>IF(Movies[[#This Row],[currency2]]="INR",Movies[[#This Row],[budget(mln)]]/92,Movies[[#This Row],[budget(mln)]])</f>
        <v>4.3478260869565215</v>
      </c>
      <c r="AB7" s="8">
        <f>IF(Movies[[#This Row],[currency2]]="INR",Movies[[#This Row],[revenue(mln)]]/92,Movies[[#This Row],[revenue(mln)]])</f>
        <v>21.739130434782609</v>
      </c>
    </row>
    <row r="8" spans="1:28" x14ac:dyDescent="0.35">
      <c r="A8" s="3">
        <v>108</v>
      </c>
      <c r="B8" t="s">
        <v>148</v>
      </c>
      <c r="D8">
        <v>2009</v>
      </c>
      <c r="E8">
        <v>8.4</v>
      </c>
      <c r="F8" t="str">
        <f>TRIM(Movies[[#This Row],[studio]])</f>
        <v>Vinod Chopra Films</v>
      </c>
      <c r="G8" t="s">
        <v>112</v>
      </c>
      <c r="H8">
        <v>1</v>
      </c>
      <c r="I8">
        <f>INDEX(financials!B:B,MATCH(VALUE(LEFT(Movies[[#This Row],[movie_id]],3)),financials!A:A,0))</f>
        <v>550</v>
      </c>
      <c r="J8">
        <f>VLOOKUP(Movies[[#This Row],[movie_id]],financials!A:C,2,FALSE)</f>
        <v>550</v>
      </c>
      <c r="K8" s="5">
        <f>INDEX(financials!B:B,MATCH(Movies[[#This Row],[movie_id]],financials!A:A,0))</f>
        <v>550</v>
      </c>
      <c r="L8" s="5">
        <f>INDEX(financials!C:C,MATCH(Movies[[#This Row],[movie_id]],financials!A:A,0))</f>
        <v>4000</v>
      </c>
      <c r="M8" s="5" t="str">
        <f>INDEX(financials!D:D,MATCH(Movies[[#This Row],[movie_id]],financials!A:A,0))</f>
        <v>Millions</v>
      </c>
      <c r="N8" s="5" t="str">
        <f>INDEX(financials!E:E,MATCH(Movies[[#This Row],[movie_id]],financials!A:A,0))</f>
        <v>INR</v>
      </c>
      <c r="O8" s="5"/>
      <c r="P8" s="5">
        <f>INDEX(Financials[],MATCH(Movies[[#This Row],[movie_id]:[movie_id]],Financials[[movie_id]:[movie_id]],0),MATCH("budget",Financials[#Headers],0))</f>
        <v>550</v>
      </c>
      <c r="Q8" s="5">
        <f>INDEX(Financials[],MATCH(Movies[[#This Row],[movie_id]:[movie_id]],Financials[[movie_id]:[movie_id]],0),MATCH("revenue",Financials[#Headers],0))</f>
        <v>4000</v>
      </c>
      <c r="R8" s="5" t="str">
        <f>INDEX(Financials[],MATCH(Movies[[#This Row],[movie_id]:[movie_id]],Financials[[movie_id]:[movie_id]],0),MATCH("unit",Financials[#Headers],0))</f>
        <v>Millions</v>
      </c>
      <c r="S8" s="5" t="str">
        <f>INDEX(Financials[],MATCH(Movies[[#This Row],[movie_id]:[movie_id]],Financials[[movie_id]:[movie_id]],0),MATCH("currency",Financials[#Headers],0))</f>
        <v>INR</v>
      </c>
      <c r="T8" s="5"/>
      <c r="U8" s="5">
        <f>INDEX(financials!$A:$D,MATCH(Movies[[#This Row],[movie_id]],financials!$A:$A,0), MATCH("revenue",financials!$1:$1,0))</f>
        <v>4000</v>
      </c>
      <c r="V8" s="5">
        <f>INDEX(financials!$A:$D,MATCH(Movies[[#This Row],[movie_id]],financials!$A:$A,0), MATCH("budget",financials!$1:$1,0))</f>
        <v>550</v>
      </c>
      <c r="W8" s="5" t="str">
        <f>INDEX(financials!$A:$D,MATCH(Movies[[#This Row],[movie_id]],financials!$A:$A,0), MATCH("unit",financials!$1:$1,0))</f>
        <v>Millions</v>
      </c>
      <c r="X8" s="5" t="e">
        <f>INDEX(financials!$A:$D,MATCH(Movies[[#This Row],[movie_id]],financials!$A:$A,0), MATCH("currency",financials!$1:$1,0))</f>
        <v>#REF!</v>
      </c>
      <c r="Y8" s="8">
        <f>IF(Movies[[#This Row],[unit3]]="Billions",Movies[[#This Row],[budget5]]*1000,Movies[[#This Row],[budget5]])</f>
        <v>550</v>
      </c>
      <c r="Z8" s="8">
        <f>IF(Movies[[#This Row],[unit3]]="Billions",Movies[[#This Row],[revenue3]]*1000,Movies[[#This Row],[revenue3]])</f>
        <v>4000</v>
      </c>
      <c r="AA8" s="8">
        <f>IF(Movies[[#This Row],[currency2]]="INR",Movies[[#This Row],[budget(mln)]]/92,Movies[[#This Row],[budget(mln)]])</f>
        <v>5.9782608695652177</v>
      </c>
      <c r="AB8" s="8">
        <f>IF(Movies[[#This Row],[currency2]]="INR",Movies[[#This Row],[revenue(mln)]]/92,Movies[[#This Row],[revenue(mln)]])</f>
        <v>43.478260869565219</v>
      </c>
    </row>
    <row r="9" spans="1:28" x14ac:dyDescent="0.35">
      <c r="A9" s="3">
        <v>109</v>
      </c>
      <c r="B9" t="s">
        <v>119</v>
      </c>
      <c r="D9">
        <v>2001</v>
      </c>
      <c r="E9">
        <v>7.4</v>
      </c>
      <c r="F9" t="str">
        <f>TRIM(Movies[[#This Row],[studio]])</f>
        <v>Dharma Productions</v>
      </c>
      <c r="G9" t="s">
        <v>8</v>
      </c>
      <c r="H9">
        <v>1</v>
      </c>
      <c r="I9">
        <f>INDEX(financials!B:B,MATCH(VALUE(LEFT(Movies[[#This Row],[movie_id]],3)),financials!A:A,0))</f>
        <v>390</v>
      </c>
      <c r="J9">
        <f>VLOOKUP(Movies[[#This Row],[movie_id]],financials!A:C,2,FALSE)</f>
        <v>390</v>
      </c>
      <c r="K9" s="5">
        <f>INDEX(financials!B:B,MATCH(Movies[[#This Row],[movie_id]],financials!A:A,0))</f>
        <v>390</v>
      </c>
      <c r="L9" s="5">
        <f>INDEX(financials!C:C,MATCH(Movies[[#This Row],[movie_id]],financials!A:A,0))</f>
        <v>1360</v>
      </c>
      <c r="M9" s="5" t="str">
        <f>INDEX(financials!D:D,MATCH(Movies[[#This Row],[movie_id]],financials!A:A,0))</f>
        <v>Millions</v>
      </c>
      <c r="N9" s="5" t="str">
        <f>INDEX(financials!E:E,MATCH(Movies[[#This Row],[movie_id]],financials!A:A,0))</f>
        <v>INR</v>
      </c>
      <c r="O9" s="5"/>
      <c r="P9" s="5">
        <f>INDEX(Financials[],MATCH(Movies[[#This Row],[movie_id]:[movie_id]],Financials[[movie_id]:[movie_id]],0),MATCH("budget",Financials[#Headers],0))</f>
        <v>390</v>
      </c>
      <c r="Q9" s="5">
        <f>INDEX(Financials[],MATCH(Movies[[#This Row],[movie_id]:[movie_id]],Financials[[movie_id]:[movie_id]],0),MATCH("revenue",Financials[#Headers],0))</f>
        <v>1360</v>
      </c>
      <c r="R9" s="5" t="str">
        <f>INDEX(Financials[],MATCH(Movies[[#This Row],[movie_id]:[movie_id]],Financials[[movie_id]:[movie_id]],0),MATCH("unit",Financials[#Headers],0))</f>
        <v>Millions</v>
      </c>
      <c r="S9" s="5" t="str">
        <f>INDEX(Financials[],MATCH(Movies[[#This Row],[movie_id]:[movie_id]],Financials[[movie_id]:[movie_id]],0),MATCH("currency",Financials[#Headers],0))</f>
        <v>INR</v>
      </c>
      <c r="T9" s="5"/>
      <c r="U9" s="5">
        <f>INDEX(financials!$A:$D,MATCH(Movies[[#This Row],[movie_id]],financials!$A:$A,0), MATCH("revenue",financials!$1:$1,0))</f>
        <v>1360</v>
      </c>
      <c r="V9" s="5">
        <f>INDEX(financials!$A:$D,MATCH(Movies[[#This Row],[movie_id]],financials!$A:$A,0), MATCH("budget",financials!$1:$1,0))</f>
        <v>390</v>
      </c>
      <c r="W9" s="5" t="str">
        <f>INDEX(financials!$A:$D,MATCH(Movies[[#This Row],[movie_id]],financials!$A:$A,0), MATCH("unit",financials!$1:$1,0))</f>
        <v>Millions</v>
      </c>
      <c r="X9" s="5" t="e">
        <f>INDEX(financials!$A:$D,MATCH(Movies[[#This Row],[movie_id]],financials!$A:$A,0), MATCH("currency",financials!$1:$1,0))</f>
        <v>#REF!</v>
      </c>
      <c r="Y9" s="8">
        <f>IF(Movies[[#This Row],[unit3]]="Billions",Movies[[#This Row],[budget5]]*1000,Movies[[#This Row],[budget5]])</f>
        <v>390</v>
      </c>
      <c r="Z9" s="8">
        <f>IF(Movies[[#This Row],[unit3]]="Billions",Movies[[#This Row],[revenue3]]*1000,Movies[[#This Row],[revenue3]])</f>
        <v>1360</v>
      </c>
      <c r="AA9" s="8">
        <f>IF(Movies[[#This Row],[currency2]]="INR",Movies[[#This Row],[budget(mln)]]/92,Movies[[#This Row],[budget(mln)]])</f>
        <v>4.2391304347826084</v>
      </c>
      <c r="AB9" s="8">
        <f>IF(Movies[[#This Row],[currency2]]="INR",Movies[[#This Row],[revenue(mln)]]/92,Movies[[#This Row],[revenue(mln)]])</f>
        <v>14.782608695652174</v>
      </c>
    </row>
    <row r="10" spans="1:28" x14ac:dyDescent="0.35">
      <c r="A10" s="3">
        <v>110</v>
      </c>
      <c r="B10" t="s">
        <v>149</v>
      </c>
      <c r="D10">
        <v>2015</v>
      </c>
      <c r="E10">
        <v>7.2</v>
      </c>
      <c r="F10" t="str">
        <f>TRIM(Movies[[#This Row],[studio]])</f>
        <v/>
      </c>
      <c r="H10">
        <v>1</v>
      </c>
      <c r="I10">
        <f>INDEX(financials!B:B,MATCH(VALUE(LEFT(Movies[[#This Row],[movie_id]],3)),financials!A:A,0))</f>
        <v>1.4</v>
      </c>
      <c r="J10">
        <f>VLOOKUP(Movies[[#This Row],[movie_id]],financials!A:C,2,FALSE)</f>
        <v>1.4</v>
      </c>
      <c r="K10" s="5">
        <f>INDEX(financials!B:B,MATCH(Movies[[#This Row],[movie_id]],financials!A:A,0))</f>
        <v>1.4</v>
      </c>
      <c r="L10" s="5">
        <f>INDEX(financials!C:C,MATCH(Movies[[#This Row],[movie_id]],financials!A:A,0))</f>
        <v>3.5</v>
      </c>
      <c r="M10" s="5" t="str">
        <f>INDEX(financials!D:D,MATCH(Movies[[#This Row],[movie_id]],financials!A:A,0))</f>
        <v>Billions</v>
      </c>
      <c r="N10" s="5" t="str">
        <f>INDEX(financials!E:E,MATCH(Movies[[#This Row],[movie_id]],financials!A:A,0))</f>
        <v>INR</v>
      </c>
      <c r="O10" s="5"/>
      <c r="P10" s="5">
        <f>INDEX(Financials[],MATCH(Movies[[#This Row],[movie_id]:[movie_id]],Financials[[movie_id]:[movie_id]],0),MATCH("budget",Financials[#Headers],0))</f>
        <v>1.4</v>
      </c>
      <c r="Q10" s="5">
        <f>INDEX(Financials[],MATCH(Movies[[#This Row],[movie_id]:[movie_id]],Financials[[movie_id]:[movie_id]],0),MATCH("revenue",Financials[#Headers],0))</f>
        <v>3.5</v>
      </c>
      <c r="R10" s="5" t="str">
        <f>INDEX(Financials[],MATCH(Movies[[#This Row],[movie_id]:[movie_id]],Financials[[movie_id]:[movie_id]],0),MATCH("unit",Financials[#Headers],0))</f>
        <v>Billions</v>
      </c>
      <c r="S10" s="5" t="str">
        <f>INDEX(Financials[],MATCH(Movies[[#This Row],[movie_id]:[movie_id]],Financials[[movie_id]:[movie_id]],0),MATCH("currency",Financials[#Headers],0))</f>
        <v>INR</v>
      </c>
      <c r="T10" s="5"/>
      <c r="U10" s="5">
        <f>INDEX(financials!$A:$D,MATCH(Movies[[#This Row],[movie_id]],financials!$A:$A,0), MATCH("revenue",financials!$1:$1,0))</f>
        <v>3.5</v>
      </c>
      <c r="V10" s="5">
        <f>INDEX(financials!$A:$D,MATCH(Movies[[#This Row],[movie_id]],financials!$A:$A,0), MATCH("budget",financials!$1:$1,0))</f>
        <v>1.4</v>
      </c>
      <c r="W10" s="5" t="str">
        <f>INDEX(financials!$A:$D,MATCH(Movies[[#This Row],[movie_id]],financials!$A:$A,0), MATCH("unit",financials!$1:$1,0))</f>
        <v>Billions</v>
      </c>
      <c r="X10" s="5" t="e">
        <f>INDEX(financials!$A:$D,MATCH(Movies[[#This Row],[movie_id]],financials!$A:$A,0), MATCH("currency",financials!$1:$1,0))</f>
        <v>#REF!</v>
      </c>
      <c r="Y10" s="8">
        <f>IF(Movies[[#This Row],[unit3]]="Billions",Movies[[#This Row],[budget5]]*1000,Movies[[#This Row],[budget5]])</f>
        <v>1400</v>
      </c>
      <c r="Z10" s="8">
        <f>IF(Movies[[#This Row],[unit3]]="Billions",Movies[[#This Row],[revenue3]]*1000,Movies[[#This Row],[revenue3]])</f>
        <v>3500</v>
      </c>
      <c r="AA10" s="8">
        <f>IF(Movies[[#This Row],[currency2]]="INR",Movies[[#This Row],[budget(mln)]]/92,Movies[[#This Row],[budget(mln)]])</f>
        <v>15.217391304347826</v>
      </c>
      <c r="AB10" s="8">
        <f>IF(Movies[[#This Row],[currency2]]="INR",Movies[[#This Row],[revenue(mln)]]/92,Movies[[#This Row],[revenue(mln)]])</f>
        <v>38.043478260869563</v>
      </c>
    </row>
    <row r="11" spans="1:28" x14ac:dyDescent="0.35">
      <c r="A11" s="3">
        <v>111</v>
      </c>
      <c r="B11" t="s">
        <v>150</v>
      </c>
      <c r="D11">
        <v>1994</v>
      </c>
      <c r="E11">
        <v>9.3000000000000007</v>
      </c>
      <c r="F11" t="str">
        <f>TRIM(Movies[[#This Row],[studio]])</f>
        <v>Castle Rock Entertainment</v>
      </c>
      <c r="G11" t="s">
        <v>9</v>
      </c>
      <c r="H11">
        <v>5</v>
      </c>
      <c r="I11">
        <f>INDEX(financials!B:B,MATCH(VALUE(LEFT(Movies[[#This Row],[movie_id]],3)),financials!A:A,0))</f>
        <v>25</v>
      </c>
      <c r="J11">
        <f>VLOOKUP(Movies[[#This Row],[movie_id]],financials!A:C,2,FALSE)</f>
        <v>25</v>
      </c>
      <c r="K11" s="5">
        <f>INDEX(financials!B:B,MATCH(Movies[[#This Row],[movie_id]],financials!A:A,0))</f>
        <v>25</v>
      </c>
      <c r="L11" s="5">
        <f>INDEX(financials!C:C,MATCH(Movies[[#This Row],[movie_id]],financials!A:A,0))</f>
        <v>73.3</v>
      </c>
      <c r="M11" s="5" t="str">
        <f>INDEX(financials!D:D,MATCH(Movies[[#This Row],[movie_id]],financials!A:A,0))</f>
        <v>Millions</v>
      </c>
      <c r="N11" s="5" t="str">
        <f>INDEX(financials!E:E,MATCH(Movies[[#This Row],[movie_id]],financials!A:A,0))</f>
        <v>USD</v>
      </c>
      <c r="O11" s="5"/>
      <c r="P11" s="5">
        <f>INDEX(Financials[],MATCH(Movies[[#This Row],[movie_id]:[movie_id]],Financials[[movie_id]:[movie_id]],0),MATCH("budget",Financials[#Headers],0))</f>
        <v>25</v>
      </c>
      <c r="Q11" s="5">
        <f>INDEX(Financials[],MATCH(Movies[[#This Row],[movie_id]:[movie_id]],Financials[[movie_id]:[movie_id]],0),MATCH("revenue",Financials[#Headers],0))</f>
        <v>73.3</v>
      </c>
      <c r="R11" s="5" t="str">
        <f>INDEX(Financials[],MATCH(Movies[[#This Row],[movie_id]:[movie_id]],Financials[[movie_id]:[movie_id]],0),MATCH("unit",Financials[#Headers],0))</f>
        <v>Millions</v>
      </c>
      <c r="S11" s="5" t="str">
        <f>INDEX(Financials[],MATCH(Movies[[#This Row],[movie_id]:[movie_id]],Financials[[movie_id]:[movie_id]],0),MATCH("currency",Financials[#Headers],0))</f>
        <v>USD</v>
      </c>
      <c r="T11" s="5"/>
      <c r="U11" s="5">
        <f>INDEX(financials!$A:$D,MATCH(Movies[[#This Row],[movie_id]],financials!$A:$A,0), MATCH("revenue",financials!$1:$1,0))</f>
        <v>73.3</v>
      </c>
      <c r="V11" s="5">
        <f>INDEX(financials!$A:$D,MATCH(Movies[[#This Row],[movie_id]],financials!$A:$A,0), MATCH("budget",financials!$1:$1,0))</f>
        <v>25</v>
      </c>
      <c r="W11" s="5" t="str">
        <f>INDEX(financials!$A:$D,MATCH(Movies[[#This Row],[movie_id]],financials!$A:$A,0), MATCH("unit",financials!$1:$1,0))</f>
        <v>Millions</v>
      </c>
      <c r="X11" s="5" t="e">
        <f>INDEX(financials!$A:$D,MATCH(Movies[[#This Row],[movie_id]],financials!$A:$A,0), MATCH("currency",financials!$1:$1,0))</f>
        <v>#REF!</v>
      </c>
      <c r="Y11" s="8">
        <f>IF(Movies[[#This Row],[unit3]]="Billions",Movies[[#This Row],[budget5]]*1000,Movies[[#This Row],[budget5]])</f>
        <v>25</v>
      </c>
      <c r="Z11" s="8">
        <f>IF(Movies[[#This Row],[unit3]]="Billions",Movies[[#This Row],[revenue3]]*1000,Movies[[#This Row],[revenue3]])</f>
        <v>73.3</v>
      </c>
      <c r="AA11" s="8">
        <f>IF(Movies[[#This Row],[currency2]]="INR",Movies[[#This Row],[budget(mln)]]/92,Movies[[#This Row],[budget(mln)]])</f>
        <v>25</v>
      </c>
      <c r="AB11" s="8">
        <f>IF(Movies[[#This Row],[currency2]]="INR",Movies[[#This Row],[revenue(mln)]]/92,Movies[[#This Row],[revenue(mln)]])</f>
        <v>73.3</v>
      </c>
    </row>
    <row r="12" spans="1:28" x14ac:dyDescent="0.35">
      <c r="A12" s="3">
        <v>113</v>
      </c>
      <c r="B12" t="s">
        <v>120</v>
      </c>
      <c r="D12">
        <v>2014</v>
      </c>
      <c r="E12">
        <v>8.6</v>
      </c>
      <c r="F12" t="str">
        <f>TRIM(Movies[[#This Row],[studio]])</f>
        <v>Warner Bros. Pictures</v>
      </c>
      <c r="G12" t="s">
        <v>10</v>
      </c>
      <c r="H12">
        <v>5</v>
      </c>
      <c r="I12">
        <f>INDEX(financials!B:B,MATCH(VALUE(LEFT(Movies[[#This Row],[movie_id]],3)),financials!A:A,0))</f>
        <v>165</v>
      </c>
      <c r="J12">
        <f>VLOOKUP(Movies[[#This Row],[movie_id]],financials!A:C,2,FALSE)</f>
        <v>165</v>
      </c>
      <c r="K12" s="5">
        <f>INDEX(financials!B:B,MATCH(Movies[[#This Row],[movie_id]],financials!A:A,0))</f>
        <v>165</v>
      </c>
      <c r="L12" s="5">
        <f>INDEX(financials!C:C,MATCH(Movies[[#This Row],[movie_id]],financials!A:A,0))</f>
        <v>701.8</v>
      </c>
      <c r="M12" s="5" t="str">
        <f>INDEX(financials!D:D,MATCH(Movies[[#This Row],[movie_id]],financials!A:A,0))</f>
        <v>Millions</v>
      </c>
      <c r="N12" s="5" t="str">
        <f>INDEX(financials!E:E,MATCH(Movies[[#This Row],[movie_id]],financials!A:A,0))</f>
        <v>USD</v>
      </c>
      <c r="O12" s="5"/>
      <c r="P12" s="5">
        <f>INDEX(Financials[],MATCH(Movies[[#This Row],[movie_id]:[movie_id]],Financials[[movie_id]:[movie_id]],0),MATCH("budget",Financials[#Headers],0))</f>
        <v>165</v>
      </c>
      <c r="Q12" s="5">
        <f>INDEX(Financials[],MATCH(Movies[[#This Row],[movie_id]:[movie_id]],Financials[[movie_id]:[movie_id]],0),MATCH("revenue",Financials[#Headers],0))</f>
        <v>701.8</v>
      </c>
      <c r="R12" s="5" t="str">
        <f>INDEX(Financials[],MATCH(Movies[[#This Row],[movie_id]:[movie_id]],Financials[[movie_id]:[movie_id]],0),MATCH("unit",Financials[#Headers],0))</f>
        <v>Millions</v>
      </c>
      <c r="S12" s="5" t="str">
        <f>INDEX(Financials[],MATCH(Movies[[#This Row],[movie_id]:[movie_id]],Financials[[movie_id]:[movie_id]],0),MATCH("currency",Financials[#Headers],0))</f>
        <v>USD</v>
      </c>
      <c r="T12" s="5"/>
      <c r="U12" s="5">
        <f>INDEX(financials!$A:$D,MATCH(Movies[[#This Row],[movie_id]],financials!$A:$A,0), MATCH("revenue",financials!$1:$1,0))</f>
        <v>701.8</v>
      </c>
      <c r="V12" s="5">
        <f>INDEX(financials!$A:$D,MATCH(Movies[[#This Row],[movie_id]],financials!$A:$A,0), MATCH("budget",financials!$1:$1,0))</f>
        <v>165</v>
      </c>
      <c r="W12" s="5" t="str">
        <f>INDEX(financials!$A:$D,MATCH(Movies[[#This Row],[movie_id]],financials!$A:$A,0), MATCH("unit",financials!$1:$1,0))</f>
        <v>Millions</v>
      </c>
      <c r="X12" s="5" t="e">
        <f>INDEX(financials!$A:$D,MATCH(Movies[[#This Row],[movie_id]],financials!$A:$A,0), MATCH("currency",financials!$1:$1,0))</f>
        <v>#REF!</v>
      </c>
      <c r="Y12" s="8">
        <f>IF(Movies[[#This Row],[unit3]]="Billions",Movies[[#This Row],[budget5]]*1000,Movies[[#This Row],[budget5]])</f>
        <v>165</v>
      </c>
      <c r="Z12" s="8">
        <f>IF(Movies[[#This Row],[unit3]]="Billions",Movies[[#This Row],[revenue3]]*1000,Movies[[#This Row],[revenue3]])</f>
        <v>701.8</v>
      </c>
      <c r="AA12" s="8">
        <f>IF(Movies[[#This Row],[currency2]]="INR",Movies[[#This Row],[budget(mln)]]/92,Movies[[#This Row],[budget(mln)]])</f>
        <v>165</v>
      </c>
      <c r="AB12" s="8">
        <f>IF(Movies[[#This Row],[currency2]]="INR",Movies[[#This Row],[revenue(mln)]]/92,Movies[[#This Row],[revenue(mln)]])</f>
        <v>701.8</v>
      </c>
    </row>
    <row r="13" spans="1:28" x14ac:dyDescent="0.35">
      <c r="A13" s="3">
        <v>115</v>
      </c>
      <c r="B13" t="s">
        <v>121</v>
      </c>
      <c r="D13">
        <v>2006</v>
      </c>
      <c r="E13">
        <v>8</v>
      </c>
      <c r="F13" t="str">
        <f>TRIM(Movies[[#This Row],[studio]])</f>
        <v>Columbia Pictures</v>
      </c>
      <c r="G13" t="s">
        <v>11</v>
      </c>
      <c r="H13">
        <v>5</v>
      </c>
      <c r="I13">
        <f>INDEX(financials!B:B,MATCH(VALUE(LEFT(Movies[[#This Row],[movie_id]],3)),financials!A:A,0))</f>
        <v>55</v>
      </c>
      <c r="J13">
        <f>VLOOKUP(Movies[[#This Row],[movie_id]],financials!A:C,2,FALSE)</f>
        <v>55</v>
      </c>
      <c r="K13" s="5">
        <f>INDEX(financials!B:B,MATCH(Movies[[#This Row],[movie_id]],financials!A:A,0))</f>
        <v>55</v>
      </c>
      <c r="L13" s="5">
        <f>INDEX(financials!C:C,MATCH(Movies[[#This Row],[movie_id]],financials!A:A,0))</f>
        <v>307.10000000000002</v>
      </c>
      <c r="M13" s="5" t="str">
        <f>INDEX(financials!D:D,MATCH(Movies[[#This Row],[movie_id]],financials!A:A,0))</f>
        <v>Millions</v>
      </c>
      <c r="N13" s="5" t="str">
        <f>INDEX(financials!E:E,MATCH(Movies[[#This Row],[movie_id]],financials!A:A,0))</f>
        <v>USD</v>
      </c>
      <c r="O13" s="5"/>
      <c r="P13" s="5">
        <f>INDEX(Financials[],MATCH(Movies[[#This Row],[movie_id]:[movie_id]],Financials[[movie_id]:[movie_id]],0),MATCH("budget",Financials[#Headers],0))</f>
        <v>55</v>
      </c>
      <c r="Q13" s="5">
        <f>INDEX(Financials[],MATCH(Movies[[#This Row],[movie_id]:[movie_id]],Financials[[movie_id]:[movie_id]],0),MATCH("revenue",Financials[#Headers],0))</f>
        <v>307.10000000000002</v>
      </c>
      <c r="R13" s="5" t="str">
        <f>INDEX(Financials[],MATCH(Movies[[#This Row],[movie_id]:[movie_id]],Financials[[movie_id]:[movie_id]],0),MATCH("unit",Financials[#Headers],0))</f>
        <v>Millions</v>
      </c>
      <c r="S13" s="5" t="str">
        <f>INDEX(Financials[],MATCH(Movies[[#This Row],[movie_id]:[movie_id]],Financials[[movie_id]:[movie_id]],0),MATCH("currency",Financials[#Headers],0))</f>
        <v>USD</v>
      </c>
      <c r="T13" s="5"/>
      <c r="U13" s="5">
        <f>INDEX(financials!$A:$D,MATCH(Movies[[#This Row],[movie_id]],financials!$A:$A,0), MATCH("revenue",financials!$1:$1,0))</f>
        <v>307.10000000000002</v>
      </c>
      <c r="V13" s="5">
        <f>INDEX(financials!$A:$D,MATCH(Movies[[#This Row],[movie_id]],financials!$A:$A,0), MATCH("budget",financials!$1:$1,0))</f>
        <v>55</v>
      </c>
      <c r="W13" s="5" t="str">
        <f>INDEX(financials!$A:$D,MATCH(Movies[[#This Row],[movie_id]],financials!$A:$A,0), MATCH("unit",financials!$1:$1,0))</f>
        <v>Millions</v>
      </c>
      <c r="X13" s="5" t="e">
        <f>INDEX(financials!$A:$D,MATCH(Movies[[#This Row],[movie_id]],financials!$A:$A,0), MATCH("currency",financials!$1:$1,0))</f>
        <v>#REF!</v>
      </c>
      <c r="Y13" s="8">
        <f>IF(Movies[[#This Row],[unit3]]="Billions",Movies[[#This Row],[budget5]]*1000,Movies[[#This Row],[budget5]])</f>
        <v>55</v>
      </c>
      <c r="Z13" s="8">
        <f>IF(Movies[[#This Row],[unit3]]="Billions",Movies[[#This Row],[revenue3]]*1000,Movies[[#This Row],[revenue3]])</f>
        <v>307.10000000000002</v>
      </c>
      <c r="AA13" s="8">
        <f>IF(Movies[[#This Row],[currency2]]="INR",Movies[[#This Row],[budget(mln)]]/92,Movies[[#This Row],[budget(mln)]])</f>
        <v>55</v>
      </c>
      <c r="AB13" s="8">
        <f>IF(Movies[[#This Row],[currency2]]="INR",Movies[[#This Row],[revenue(mln)]]/92,Movies[[#This Row],[revenue(mln)]])</f>
        <v>307.10000000000002</v>
      </c>
    </row>
    <row r="14" spans="1:28" x14ac:dyDescent="0.35">
      <c r="A14" s="3">
        <v>116</v>
      </c>
      <c r="B14" t="s">
        <v>122</v>
      </c>
      <c r="D14">
        <v>2000</v>
      </c>
      <c r="E14">
        <v>8.5</v>
      </c>
      <c r="F14" t="str">
        <f>TRIM(Movies[[#This Row],[studio]])</f>
        <v>Universal Pictures</v>
      </c>
      <c r="G14" t="s">
        <v>12</v>
      </c>
      <c r="H14">
        <v>5</v>
      </c>
      <c r="I14">
        <f>INDEX(financials!B:B,MATCH(VALUE(LEFT(Movies[[#This Row],[movie_id]],3)),financials!A:A,0))</f>
        <v>103</v>
      </c>
      <c r="J14">
        <f>VLOOKUP(Movies[[#This Row],[movie_id]],financials!A:C,2,FALSE)</f>
        <v>103</v>
      </c>
      <c r="K14" s="5">
        <f>INDEX(financials!B:B,MATCH(Movies[[#This Row],[movie_id]],financials!A:A,0))</f>
        <v>103</v>
      </c>
      <c r="L14" s="5">
        <f>INDEX(financials!C:C,MATCH(Movies[[#This Row],[movie_id]],financials!A:A,0))</f>
        <v>460.5</v>
      </c>
      <c r="M14" s="5" t="str">
        <f>INDEX(financials!D:D,MATCH(Movies[[#This Row],[movie_id]],financials!A:A,0))</f>
        <v>Millions</v>
      </c>
      <c r="N14" s="5" t="str">
        <f>INDEX(financials!E:E,MATCH(Movies[[#This Row],[movie_id]],financials!A:A,0))</f>
        <v>USD</v>
      </c>
      <c r="O14" s="5"/>
      <c r="P14" s="5">
        <f>INDEX(Financials[],MATCH(Movies[[#This Row],[movie_id]:[movie_id]],Financials[[movie_id]:[movie_id]],0),MATCH("budget",Financials[#Headers],0))</f>
        <v>103</v>
      </c>
      <c r="Q14" s="5">
        <f>INDEX(Financials[],MATCH(Movies[[#This Row],[movie_id]:[movie_id]],Financials[[movie_id]:[movie_id]],0),MATCH("revenue",Financials[#Headers],0))</f>
        <v>460.5</v>
      </c>
      <c r="R14" s="5" t="str">
        <f>INDEX(Financials[],MATCH(Movies[[#This Row],[movie_id]:[movie_id]],Financials[[movie_id]:[movie_id]],0),MATCH("unit",Financials[#Headers],0))</f>
        <v>Millions</v>
      </c>
      <c r="S14" s="5" t="str">
        <f>INDEX(Financials[],MATCH(Movies[[#This Row],[movie_id]:[movie_id]],Financials[[movie_id]:[movie_id]],0),MATCH("currency",Financials[#Headers],0))</f>
        <v>USD</v>
      </c>
      <c r="T14" s="5"/>
      <c r="U14" s="5">
        <f>INDEX(financials!$A:$D,MATCH(Movies[[#This Row],[movie_id]],financials!$A:$A,0), MATCH("revenue",financials!$1:$1,0))</f>
        <v>460.5</v>
      </c>
      <c r="V14" s="5">
        <f>INDEX(financials!$A:$D,MATCH(Movies[[#This Row],[movie_id]],financials!$A:$A,0), MATCH("budget",financials!$1:$1,0))</f>
        <v>103</v>
      </c>
      <c r="W14" s="5" t="str">
        <f>INDEX(financials!$A:$D,MATCH(Movies[[#This Row],[movie_id]],financials!$A:$A,0), MATCH("unit",financials!$1:$1,0))</f>
        <v>Millions</v>
      </c>
      <c r="X14" s="5" t="e">
        <f>INDEX(financials!$A:$D,MATCH(Movies[[#This Row],[movie_id]],financials!$A:$A,0), MATCH("currency",financials!$1:$1,0))</f>
        <v>#REF!</v>
      </c>
      <c r="Y14" s="8">
        <f>IF(Movies[[#This Row],[unit3]]="Billions",Movies[[#This Row],[budget5]]*1000,Movies[[#This Row],[budget5]])</f>
        <v>103</v>
      </c>
      <c r="Z14" s="8">
        <f>IF(Movies[[#This Row],[unit3]]="Billions",Movies[[#This Row],[revenue3]]*1000,Movies[[#This Row],[revenue3]])</f>
        <v>460.5</v>
      </c>
      <c r="AA14" s="8">
        <f>IF(Movies[[#This Row],[currency2]]="INR",Movies[[#This Row],[budget(mln)]]/92,Movies[[#This Row],[budget(mln)]])</f>
        <v>103</v>
      </c>
      <c r="AB14" s="8">
        <f>IF(Movies[[#This Row],[currency2]]="INR",Movies[[#This Row],[revenue(mln)]]/92,Movies[[#This Row],[revenue(mln)]])</f>
        <v>460.5</v>
      </c>
    </row>
    <row r="15" spans="1:28" x14ac:dyDescent="0.35">
      <c r="A15" s="3">
        <v>117</v>
      </c>
      <c r="B15" t="s">
        <v>123</v>
      </c>
      <c r="D15">
        <v>1997</v>
      </c>
      <c r="E15">
        <v>7.9</v>
      </c>
      <c r="F15" t="str">
        <f>TRIM(Movies[[#This Row],[studio]])</f>
        <v>Paramount Pictures</v>
      </c>
      <c r="G15" t="s">
        <v>13</v>
      </c>
      <c r="H15">
        <v>5</v>
      </c>
      <c r="I15">
        <f>INDEX(financials!B:B,MATCH(VALUE(LEFT(Movies[[#This Row],[movie_id]],3)),financials!A:A,0))</f>
        <v>200</v>
      </c>
      <c r="J15">
        <f>VLOOKUP(Movies[[#This Row],[movie_id]],financials!A:C,2,FALSE)</f>
        <v>200</v>
      </c>
      <c r="K15" s="5">
        <f>INDEX(financials!B:B,MATCH(Movies[[#This Row],[movie_id]],financials!A:A,0))</f>
        <v>200</v>
      </c>
      <c r="L15" s="5">
        <f>INDEX(financials!C:C,MATCH(Movies[[#This Row],[movie_id]],financials!A:A,0))</f>
        <v>2202</v>
      </c>
      <c r="M15" s="5" t="str">
        <f>INDEX(financials!D:D,MATCH(Movies[[#This Row],[movie_id]],financials!A:A,0))</f>
        <v>Millions</v>
      </c>
      <c r="N15" s="5" t="str">
        <f>INDEX(financials!E:E,MATCH(Movies[[#This Row],[movie_id]],financials!A:A,0))</f>
        <v>USD</v>
      </c>
      <c r="O15" s="5"/>
      <c r="P15" s="5">
        <f>INDEX(Financials[],MATCH(Movies[[#This Row],[movie_id]:[movie_id]],Financials[[movie_id]:[movie_id]],0),MATCH("budget",Financials[#Headers],0))</f>
        <v>200</v>
      </c>
      <c r="Q15" s="5">
        <f>INDEX(Financials[],MATCH(Movies[[#This Row],[movie_id]:[movie_id]],Financials[[movie_id]:[movie_id]],0),MATCH("revenue",Financials[#Headers],0))</f>
        <v>2202</v>
      </c>
      <c r="R15" s="5" t="str">
        <f>INDEX(Financials[],MATCH(Movies[[#This Row],[movie_id]:[movie_id]],Financials[[movie_id]:[movie_id]],0),MATCH("unit",Financials[#Headers],0))</f>
        <v>Millions</v>
      </c>
      <c r="S15" s="5" t="str">
        <f>INDEX(Financials[],MATCH(Movies[[#This Row],[movie_id]:[movie_id]],Financials[[movie_id]:[movie_id]],0),MATCH("currency",Financials[#Headers],0))</f>
        <v>USD</v>
      </c>
      <c r="T15" s="5"/>
      <c r="U15" s="5">
        <f>INDEX(financials!$A:$D,MATCH(Movies[[#This Row],[movie_id]],financials!$A:$A,0), MATCH("revenue",financials!$1:$1,0))</f>
        <v>2202</v>
      </c>
      <c r="V15" s="5">
        <f>INDEX(financials!$A:$D,MATCH(Movies[[#This Row],[movie_id]],financials!$A:$A,0), MATCH("budget",financials!$1:$1,0))</f>
        <v>200</v>
      </c>
      <c r="W15" s="5" t="str">
        <f>INDEX(financials!$A:$D,MATCH(Movies[[#This Row],[movie_id]],financials!$A:$A,0), MATCH("unit",financials!$1:$1,0))</f>
        <v>Millions</v>
      </c>
      <c r="X15" s="5" t="e">
        <f>INDEX(financials!$A:$D,MATCH(Movies[[#This Row],[movie_id]],financials!$A:$A,0), MATCH("currency",financials!$1:$1,0))</f>
        <v>#REF!</v>
      </c>
      <c r="Y15" s="8">
        <f>IF(Movies[[#This Row],[unit3]]="Billions",Movies[[#This Row],[budget5]]*1000,Movies[[#This Row],[budget5]])</f>
        <v>200</v>
      </c>
      <c r="Z15" s="8">
        <f>IF(Movies[[#This Row],[unit3]]="Billions",Movies[[#This Row],[revenue3]]*1000,Movies[[#This Row],[revenue3]])</f>
        <v>2202</v>
      </c>
      <c r="AA15" s="8">
        <f>IF(Movies[[#This Row],[currency2]]="INR",Movies[[#This Row],[budget(mln)]]/92,Movies[[#This Row],[budget(mln)]])</f>
        <v>200</v>
      </c>
      <c r="AB15" s="8">
        <f>IF(Movies[[#This Row],[currency2]]="INR",Movies[[#This Row],[revenue(mln)]]/92,Movies[[#This Row],[revenue(mln)]])</f>
        <v>2202</v>
      </c>
    </row>
    <row r="16" spans="1:28" x14ac:dyDescent="0.35">
      <c r="A16" s="3">
        <v>118</v>
      </c>
      <c r="B16" t="s">
        <v>124</v>
      </c>
      <c r="D16">
        <v>1946</v>
      </c>
      <c r="E16">
        <v>8.6</v>
      </c>
      <c r="F16" t="str">
        <f>TRIM(Movies[[#This Row],[studio]])</f>
        <v>Liberty Films</v>
      </c>
      <c r="G16" t="s">
        <v>14</v>
      </c>
      <c r="H16">
        <v>5</v>
      </c>
      <c r="I16">
        <f>INDEX(financials!B:B,MATCH(VALUE(LEFT(Movies[[#This Row],[movie_id]],3)),financials!A:A,0))</f>
        <v>3.18</v>
      </c>
      <c r="J16">
        <f>VLOOKUP(Movies[[#This Row],[movie_id]],financials!A:C,2,FALSE)</f>
        <v>3.18</v>
      </c>
      <c r="K16" s="5">
        <f>INDEX(financials!B:B,MATCH(Movies[[#This Row],[movie_id]],financials!A:A,0))</f>
        <v>3.18</v>
      </c>
      <c r="L16" s="5">
        <f>INDEX(financials!C:C,MATCH(Movies[[#This Row],[movie_id]],financials!A:A,0))</f>
        <v>3.3</v>
      </c>
      <c r="M16" s="5" t="str">
        <f>INDEX(financials!D:D,MATCH(Movies[[#This Row],[movie_id]],financials!A:A,0))</f>
        <v>Millions</v>
      </c>
      <c r="N16" s="5" t="str">
        <f>INDEX(financials!E:E,MATCH(Movies[[#This Row],[movie_id]],financials!A:A,0))</f>
        <v>USD</v>
      </c>
      <c r="O16" s="5"/>
      <c r="P16" s="5">
        <f>INDEX(Financials[],MATCH(Movies[[#This Row],[movie_id]:[movie_id]],Financials[[movie_id]:[movie_id]],0),MATCH("budget",Financials[#Headers],0))</f>
        <v>3.18</v>
      </c>
      <c r="Q16" s="5">
        <f>INDEX(Financials[],MATCH(Movies[[#This Row],[movie_id]:[movie_id]],Financials[[movie_id]:[movie_id]],0),MATCH("revenue",Financials[#Headers],0))</f>
        <v>3.3</v>
      </c>
      <c r="R16" s="5" t="str">
        <f>INDEX(Financials[],MATCH(Movies[[#This Row],[movie_id]:[movie_id]],Financials[[movie_id]:[movie_id]],0),MATCH("unit",Financials[#Headers],0))</f>
        <v>Millions</v>
      </c>
      <c r="S16" s="5" t="str">
        <f>INDEX(Financials[],MATCH(Movies[[#This Row],[movie_id]:[movie_id]],Financials[[movie_id]:[movie_id]],0),MATCH("currency",Financials[#Headers],0))</f>
        <v>USD</v>
      </c>
      <c r="T16" s="5"/>
      <c r="U16" s="5">
        <f>INDEX(financials!$A:$D,MATCH(Movies[[#This Row],[movie_id]],financials!$A:$A,0), MATCH("revenue",financials!$1:$1,0))</f>
        <v>3.3</v>
      </c>
      <c r="V16" s="5">
        <f>INDEX(financials!$A:$D,MATCH(Movies[[#This Row],[movie_id]],financials!$A:$A,0), MATCH("budget",financials!$1:$1,0))</f>
        <v>3.18</v>
      </c>
      <c r="W16" s="5" t="str">
        <f>INDEX(financials!$A:$D,MATCH(Movies[[#This Row],[movie_id]],financials!$A:$A,0), MATCH("unit",financials!$1:$1,0))</f>
        <v>Millions</v>
      </c>
      <c r="X16" s="5" t="e">
        <f>INDEX(financials!$A:$D,MATCH(Movies[[#This Row],[movie_id]],financials!$A:$A,0), MATCH("currency",financials!$1:$1,0))</f>
        <v>#REF!</v>
      </c>
      <c r="Y16" s="8">
        <f>IF(Movies[[#This Row],[unit3]]="Billions",Movies[[#This Row],[budget5]]*1000,Movies[[#This Row],[budget5]])</f>
        <v>3.18</v>
      </c>
      <c r="Z16" s="8">
        <f>IF(Movies[[#This Row],[unit3]]="Billions",Movies[[#This Row],[revenue3]]*1000,Movies[[#This Row],[revenue3]])</f>
        <v>3.3</v>
      </c>
      <c r="AA16" s="8">
        <f>IF(Movies[[#This Row],[currency2]]="INR",Movies[[#This Row],[budget(mln)]]/92,Movies[[#This Row],[budget(mln)]])</f>
        <v>3.18</v>
      </c>
      <c r="AB16" s="8">
        <f>IF(Movies[[#This Row],[currency2]]="INR",Movies[[#This Row],[revenue(mln)]]/92,Movies[[#This Row],[revenue(mln)]])</f>
        <v>3.3</v>
      </c>
    </row>
    <row r="17" spans="1:28" x14ac:dyDescent="0.35">
      <c r="A17" s="3">
        <v>119</v>
      </c>
      <c r="B17" t="s">
        <v>125</v>
      </c>
      <c r="D17">
        <v>2009</v>
      </c>
      <c r="E17">
        <v>7.8</v>
      </c>
      <c r="F17" t="str">
        <f>TRIM(Movies[[#This Row],[studio]])</f>
        <v>20th Century Fox</v>
      </c>
      <c r="G17" t="s">
        <v>15</v>
      </c>
      <c r="H17">
        <v>5</v>
      </c>
      <c r="I17">
        <f>INDEX(financials!B:B,MATCH(VALUE(LEFT(Movies[[#This Row],[movie_id]],3)),financials!A:A,0))</f>
        <v>237</v>
      </c>
      <c r="J17">
        <f>VLOOKUP(Movies[[#This Row],[movie_id]],financials!A:C,2,FALSE)</f>
        <v>237</v>
      </c>
      <c r="K17" s="5">
        <f>INDEX(financials!B:B,MATCH(Movies[[#This Row],[movie_id]],financials!A:A,0))</f>
        <v>237</v>
      </c>
      <c r="L17" s="5">
        <f>INDEX(financials!C:C,MATCH(Movies[[#This Row],[movie_id]],financials!A:A,0))</f>
        <v>2847</v>
      </c>
      <c r="M17" s="5" t="str">
        <f>INDEX(financials!D:D,MATCH(Movies[[#This Row],[movie_id]],financials!A:A,0))</f>
        <v>Millions</v>
      </c>
      <c r="N17" s="5" t="str">
        <f>INDEX(financials!E:E,MATCH(Movies[[#This Row],[movie_id]],financials!A:A,0))</f>
        <v>USD</v>
      </c>
      <c r="O17" s="5"/>
      <c r="P17" s="5">
        <f>INDEX(Financials[],MATCH(Movies[[#This Row],[movie_id]:[movie_id]],Financials[[movie_id]:[movie_id]],0),MATCH("budget",Financials[#Headers],0))</f>
        <v>237</v>
      </c>
      <c r="Q17" s="5">
        <f>INDEX(Financials[],MATCH(Movies[[#This Row],[movie_id]:[movie_id]],Financials[[movie_id]:[movie_id]],0),MATCH("revenue",Financials[#Headers],0))</f>
        <v>2847</v>
      </c>
      <c r="R17" s="5" t="str">
        <f>INDEX(Financials[],MATCH(Movies[[#This Row],[movie_id]:[movie_id]],Financials[[movie_id]:[movie_id]],0),MATCH("unit",Financials[#Headers],0))</f>
        <v>Millions</v>
      </c>
      <c r="S17" s="5" t="str">
        <f>INDEX(Financials[],MATCH(Movies[[#This Row],[movie_id]:[movie_id]],Financials[[movie_id]:[movie_id]],0),MATCH("currency",Financials[#Headers],0))</f>
        <v>USD</v>
      </c>
      <c r="T17" s="5"/>
      <c r="U17" s="5">
        <f>INDEX(financials!$A:$D,MATCH(Movies[[#This Row],[movie_id]],financials!$A:$A,0), MATCH("revenue",financials!$1:$1,0))</f>
        <v>2847</v>
      </c>
      <c r="V17" s="5">
        <f>INDEX(financials!$A:$D,MATCH(Movies[[#This Row],[movie_id]],financials!$A:$A,0), MATCH("budget",financials!$1:$1,0))</f>
        <v>237</v>
      </c>
      <c r="W17" s="5" t="str">
        <f>INDEX(financials!$A:$D,MATCH(Movies[[#This Row],[movie_id]],financials!$A:$A,0), MATCH("unit",financials!$1:$1,0))</f>
        <v>Millions</v>
      </c>
      <c r="X17" s="5" t="e">
        <f>INDEX(financials!$A:$D,MATCH(Movies[[#This Row],[movie_id]],financials!$A:$A,0), MATCH("currency",financials!$1:$1,0))</f>
        <v>#REF!</v>
      </c>
      <c r="Y17" s="8">
        <f>IF(Movies[[#This Row],[unit3]]="Billions",Movies[[#This Row],[budget5]]*1000,Movies[[#This Row],[budget5]])</f>
        <v>237</v>
      </c>
      <c r="Z17" s="8">
        <f>IF(Movies[[#This Row],[unit3]]="Billions",Movies[[#This Row],[revenue3]]*1000,Movies[[#This Row],[revenue3]])</f>
        <v>2847</v>
      </c>
      <c r="AA17" s="8">
        <f>IF(Movies[[#This Row],[currency2]]="INR",Movies[[#This Row],[budget(mln)]]/92,Movies[[#This Row],[budget(mln)]])</f>
        <v>237</v>
      </c>
      <c r="AB17" s="8">
        <f>IF(Movies[[#This Row],[currency2]]="INR",Movies[[#This Row],[revenue(mln)]]/92,Movies[[#This Row],[revenue(mln)]])</f>
        <v>2847</v>
      </c>
    </row>
    <row r="18" spans="1:28" x14ac:dyDescent="0.35">
      <c r="A18" s="3">
        <v>120</v>
      </c>
      <c r="B18" t="s">
        <v>126</v>
      </c>
      <c r="D18">
        <v>1972</v>
      </c>
      <c r="E18">
        <v>9.1999999999999993</v>
      </c>
      <c r="F18" t="str">
        <f>TRIM(Movies[[#This Row],[studio]])</f>
        <v>Paramount Pictures</v>
      </c>
      <c r="G18" t="s">
        <v>114</v>
      </c>
      <c r="H18">
        <v>5</v>
      </c>
      <c r="I18">
        <f>INDEX(financials!B:B,MATCH(VALUE(LEFT(Movies[[#This Row],[movie_id]],3)),financials!A:A,0))</f>
        <v>7.2</v>
      </c>
      <c r="J18">
        <f>VLOOKUP(Movies[[#This Row],[movie_id]],financials!A:C,2,FALSE)</f>
        <v>7.2</v>
      </c>
      <c r="K18" s="5">
        <f>INDEX(financials!B:B,MATCH(Movies[[#This Row],[movie_id]],financials!A:A,0))</f>
        <v>7.2</v>
      </c>
      <c r="L18" s="5">
        <f>INDEX(financials!C:C,MATCH(Movies[[#This Row],[movie_id]],financials!A:A,0))</f>
        <v>291</v>
      </c>
      <c r="M18" s="5" t="str">
        <f>INDEX(financials!D:D,MATCH(Movies[[#This Row],[movie_id]],financials!A:A,0))</f>
        <v>Millions</v>
      </c>
      <c r="N18" s="5" t="str">
        <f>INDEX(financials!E:E,MATCH(Movies[[#This Row],[movie_id]],financials!A:A,0))</f>
        <v>USD</v>
      </c>
      <c r="O18" s="5"/>
      <c r="P18" s="5">
        <f>INDEX(Financials[],MATCH(Movies[[#This Row],[movie_id]:[movie_id]],Financials[[movie_id]:[movie_id]],0),MATCH("budget",Financials[#Headers],0))</f>
        <v>7.2</v>
      </c>
      <c r="Q18" s="5">
        <f>INDEX(Financials[],MATCH(Movies[[#This Row],[movie_id]:[movie_id]],Financials[[movie_id]:[movie_id]],0),MATCH("revenue",Financials[#Headers],0))</f>
        <v>291</v>
      </c>
      <c r="R18" s="5" t="str">
        <f>INDEX(Financials[],MATCH(Movies[[#This Row],[movie_id]:[movie_id]],Financials[[movie_id]:[movie_id]],0),MATCH("unit",Financials[#Headers],0))</f>
        <v>Millions</v>
      </c>
      <c r="S18" s="5" t="str">
        <f>INDEX(Financials[],MATCH(Movies[[#This Row],[movie_id]:[movie_id]],Financials[[movie_id]:[movie_id]],0),MATCH("currency",Financials[#Headers],0))</f>
        <v>USD</v>
      </c>
      <c r="T18" s="5"/>
      <c r="U18" s="5">
        <f>INDEX(financials!$A:$D,MATCH(Movies[[#This Row],[movie_id]],financials!$A:$A,0), MATCH("revenue",financials!$1:$1,0))</f>
        <v>291</v>
      </c>
      <c r="V18" s="5">
        <f>INDEX(financials!$A:$D,MATCH(Movies[[#This Row],[movie_id]],financials!$A:$A,0), MATCH("budget",financials!$1:$1,0))</f>
        <v>7.2</v>
      </c>
      <c r="W18" s="5" t="str">
        <f>INDEX(financials!$A:$D,MATCH(Movies[[#This Row],[movie_id]],financials!$A:$A,0), MATCH("unit",financials!$1:$1,0))</f>
        <v>Millions</v>
      </c>
      <c r="X18" s="5" t="e">
        <f>INDEX(financials!$A:$D,MATCH(Movies[[#This Row],[movie_id]],financials!$A:$A,0), MATCH("currency",financials!$1:$1,0))</f>
        <v>#REF!</v>
      </c>
      <c r="Y18" s="8">
        <f>IF(Movies[[#This Row],[unit3]]="Billions",Movies[[#This Row],[budget5]]*1000,Movies[[#This Row],[budget5]])</f>
        <v>7.2</v>
      </c>
      <c r="Z18" s="8">
        <f>IF(Movies[[#This Row],[unit3]]="Billions",Movies[[#This Row],[revenue3]]*1000,Movies[[#This Row],[revenue3]])</f>
        <v>291</v>
      </c>
      <c r="AA18" s="8">
        <f>IF(Movies[[#This Row],[currency2]]="INR",Movies[[#This Row],[budget(mln)]]/92,Movies[[#This Row],[budget(mln)]])</f>
        <v>7.2</v>
      </c>
      <c r="AB18" s="8">
        <f>IF(Movies[[#This Row],[currency2]]="INR",Movies[[#This Row],[revenue(mln)]]/92,Movies[[#This Row],[revenue(mln)]])</f>
        <v>291</v>
      </c>
    </row>
    <row r="19" spans="1:28" x14ac:dyDescent="0.35">
      <c r="A19" s="3">
        <v>121</v>
      </c>
      <c r="B19" t="s">
        <v>127</v>
      </c>
      <c r="D19">
        <v>2008</v>
      </c>
      <c r="E19">
        <v>9</v>
      </c>
      <c r="F19" t="str">
        <f>TRIM(Movies[[#This Row],[studio]])</f>
        <v>Syncopy</v>
      </c>
      <c r="G19" t="s">
        <v>16</v>
      </c>
      <c r="H19">
        <v>5</v>
      </c>
      <c r="I19">
        <f>INDEX(financials!B:B,MATCH(VALUE(LEFT(Movies[[#This Row],[movie_id]],3)),financials!A:A,0))</f>
        <v>185</v>
      </c>
      <c r="J19">
        <f>VLOOKUP(Movies[[#This Row],[movie_id]],financials!A:C,2,FALSE)</f>
        <v>185</v>
      </c>
      <c r="K19" s="5">
        <f>INDEX(financials!B:B,MATCH(Movies[[#This Row],[movie_id]],financials!A:A,0))</f>
        <v>185</v>
      </c>
      <c r="L19" s="5">
        <f>INDEX(financials!C:C,MATCH(Movies[[#This Row],[movie_id]],financials!A:A,0))</f>
        <v>1006</v>
      </c>
      <c r="M19" s="5" t="str">
        <f>INDEX(financials!D:D,MATCH(Movies[[#This Row],[movie_id]],financials!A:A,0))</f>
        <v>Millions</v>
      </c>
      <c r="N19" s="5" t="str">
        <f>INDEX(financials!E:E,MATCH(Movies[[#This Row],[movie_id]],financials!A:A,0))</f>
        <v>USD</v>
      </c>
      <c r="O19" s="5"/>
      <c r="P19" s="5">
        <f>INDEX(Financials[],MATCH(Movies[[#This Row],[movie_id]:[movie_id]],Financials[[movie_id]:[movie_id]],0),MATCH("budget",Financials[#Headers],0))</f>
        <v>185</v>
      </c>
      <c r="Q19" s="5">
        <f>INDEX(Financials[],MATCH(Movies[[#This Row],[movie_id]:[movie_id]],Financials[[movie_id]:[movie_id]],0),MATCH("revenue",Financials[#Headers],0))</f>
        <v>1006</v>
      </c>
      <c r="R19" s="5" t="str">
        <f>INDEX(Financials[],MATCH(Movies[[#This Row],[movie_id]:[movie_id]],Financials[[movie_id]:[movie_id]],0),MATCH("unit",Financials[#Headers],0))</f>
        <v>Millions</v>
      </c>
      <c r="S19" s="5" t="str">
        <f>INDEX(Financials[],MATCH(Movies[[#This Row],[movie_id]:[movie_id]],Financials[[movie_id]:[movie_id]],0),MATCH("currency",Financials[#Headers],0))</f>
        <v>USD</v>
      </c>
      <c r="T19" s="5"/>
      <c r="U19" s="5">
        <f>INDEX(financials!$A:$D,MATCH(Movies[[#This Row],[movie_id]],financials!$A:$A,0), MATCH("revenue",financials!$1:$1,0))</f>
        <v>1006</v>
      </c>
      <c r="V19" s="5">
        <f>INDEX(financials!$A:$D,MATCH(Movies[[#This Row],[movie_id]],financials!$A:$A,0), MATCH("budget",financials!$1:$1,0))</f>
        <v>185</v>
      </c>
      <c r="W19" s="5" t="str">
        <f>INDEX(financials!$A:$D,MATCH(Movies[[#This Row],[movie_id]],financials!$A:$A,0), MATCH("unit",financials!$1:$1,0))</f>
        <v>Millions</v>
      </c>
      <c r="X19" s="5" t="e">
        <f>INDEX(financials!$A:$D,MATCH(Movies[[#This Row],[movie_id]],financials!$A:$A,0), MATCH("currency",financials!$1:$1,0))</f>
        <v>#REF!</v>
      </c>
      <c r="Y19" s="8">
        <f>IF(Movies[[#This Row],[unit3]]="Billions",Movies[[#This Row],[budget5]]*1000,Movies[[#This Row],[budget5]])</f>
        <v>185</v>
      </c>
      <c r="Z19" s="8">
        <f>IF(Movies[[#This Row],[unit3]]="Billions",Movies[[#This Row],[revenue3]]*1000,Movies[[#This Row],[revenue3]])</f>
        <v>1006</v>
      </c>
      <c r="AA19" s="8">
        <f>IF(Movies[[#This Row],[currency2]]="INR",Movies[[#This Row],[budget(mln)]]/92,Movies[[#This Row],[budget(mln)]])</f>
        <v>185</v>
      </c>
      <c r="AB19" s="8">
        <f>IF(Movies[[#This Row],[currency2]]="INR",Movies[[#This Row],[revenue(mln)]]/92,Movies[[#This Row],[revenue(mln)]])</f>
        <v>1006</v>
      </c>
    </row>
    <row r="20" spans="1:28" x14ac:dyDescent="0.35">
      <c r="A20" s="3">
        <v>122</v>
      </c>
      <c r="B20" t="s">
        <v>128</v>
      </c>
      <c r="D20">
        <v>1993</v>
      </c>
      <c r="E20">
        <v>9</v>
      </c>
      <c r="F20" t="str">
        <f>TRIM(Movies[[#This Row],[studio]])</f>
        <v>Universal Pictures</v>
      </c>
      <c r="G20" t="s">
        <v>17</v>
      </c>
      <c r="H20">
        <v>5</v>
      </c>
      <c r="I20">
        <f>INDEX(financials!B:B,MATCH(VALUE(LEFT(Movies[[#This Row],[movie_id]],3)),financials!A:A,0))</f>
        <v>22</v>
      </c>
      <c r="J20">
        <f>VLOOKUP(Movies[[#This Row],[movie_id]],financials!A:C,2,FALSE)</f>
        <v>22</v>
      </c>
      <c r="K20" s="5">
        <f>INDEX(financials!B:B,MATCH(Movies[[#This Row],[movie_id]],financials!A:A,0))</f>
        <v>22</v>
      </c>
      <c r="L20" s="5">
        <f>INDEX(financials!C:C,MATCH(Movies[[#This Row],[movie_id]],financials!A:A,0))</f>
        <v>322.2</v>
      </c>
      <c r="M20" s="5" t="str">
        <f>INDEX(financials!D:D,MATCH(Movies[[#This Row],[movie_id]],financials!A:A,0))</f>
        <v>Millions</v>
      </c>
      <c r="N20" s="5" t="str">
        <f>INDEX(financials!E:E,MATCH(Movies[[#This Row],[movie_id]],financials!A:A,0))</f>
        <v>USD</v>
      </c>
      <c r="O20" s="5"/>
      <c r="P20" s="5">
        <f>INDEX(Financials[],MATCH(Movies[[#This Row],[movie_id]:[movie_id]],Financials[[movie_id]:[movie_id]],0),MATCH("budget",Financials[#Headers],0))</f>
        <v>22</v>
      </c>
      <c r="Q20" s="5">
        <f>INDEX(Financials[],MATCH(Movies[[#This Row],[movie_id]:[movie_id]],Financials[[movie_id]:[movie_id]],0),MATCH("revenue",Financials[#Headers],0))</f>
        <v>322.2</v>
      </c>
      <c r="R20" s="5" t="str">
        <f>INDEX(Financials[],MATCH(Movies[[#This Row],[movie_id]:[movie_id]],Financials[[movie_id]:[movie_id]],0),MATCH("unit",Financials[#Headers],0))</f>
        <v>Millions</v>
      </c>
      <c r="S20" s="5" t="str">
        <f>INDEX(Financials[],MATCH(Movies[[#This Row],[movie_id]:[movie_id]],Financials[[movie_id]:[movie_id]],0),MATCH("currency",Financials[#Headers],0))</f>
        <v>USD</v>
      </c>
      <c r="T20" s="5"/>
      <c r="U20" s="5">
        <f>INDEX(financials!$A:$D,MATCH(Movies[[#This Row],[movie_id]],financials!$A:$A,0), MATCH("revenue",financials!$1:$1,0))</f>
        <v>322.2</v>
      </c>
      <c r="V20" s="5">
        <f>INDEX(financials!$A:$D,MATCH(Movies[[#This Row],[movie_id]],financials!$A:$A,0), MATCH("budget",financials!$1:$1,0))</f>
        <v>22</v>
      </c>
      <c r="W20" s="5" t="str">
        <f>INDEX(financials!$A:$D,MATCH(Movies[[#This Row],[movie_id]],financials!$A:$A,0), MATCH("unit",financials!$1:$1,0))</f>
        <v>Millions</v>
      </c>
      <c r="X20" s="5" t="e">
        <f>INDEX(financials!$A:$D,MATCH(Movies[[#This Row],[movie_id]],financials!$A:$A,0), MATCH("currency",financials!$1:$1,0))</f>
        <v>#REF!</v>
      </c>
      <c r="Y20" s="8">
        <f>IF(Movies[[#This Row],[unit3]]="Billions",Movies[[#This Row],[budget5]]*1000,Movies[[#This Row],[budget5]])</f>
        <v>22</v>
      </c>
      <c r="Z20" s="8">
        <f>IF(Movies[[#This Row],[unit3]]="Billions",Movies[[#This Row],[revenue3]]*1000,Movies[[#This Row],[revenue3]])</f>
        <v>322.2</v>
      </c>
      <c r="AA20" s="8">
        <f>IF(Movies[[#This Row],[currency2]]="INR",Movies[[#This Row],[budget(mln)]]/92,Movies[[#This Row],[budget(mln)]])</f>
        <v>22</v>
      </c>
      <c r="AB20" s="8">
        <f>IF(Movies[[#This Row],[currency2]]="INR",Movies[[#This Row],[revenue(mln)]]/92,Movies[[#This Row],[revenue(mln)]])</f>
        <v>322.2</v>
      </c>
    </row>
    <row r="21" spans="1:28" x14ac:dyDescent="0.35">
      <c r="A21" s="3">
        <v>123</v>
      </c>
      <c r="B21" t="s">
        <v>129</v>
      </c>
      <c r="D21">
        <v>1993</v>
      </c>
      <c r="E21">
        <v>8.1999999999999993</v>
      </c>
      <c r="F21" t="str">
        <f>TRIM(Movies[[#This Row],[studio]])</f>
        <v>Universal Pictures</v>
      </c>
      <c r="G21" t="s">
        <v>17</v>
      </c>
      <c r="H21">
        <v>5</v>
      </c>
      <c r="I21">
        <f>INDEX(financials!B:B,MATCH(VALUE(LEFT(Movies[[#This Row],[movie_id]],3)),financials!A:A,0))</f>
        <v>63</v>
      </c>
      <c r="J21">
        <f>VLOOKUP(Movies[[#This Row],[movie_id]],financials!A:C,2,FALSE)</f>
        <v>63</v>
      </c>
      <c r="K21" s="5">
        <f>INDEX(financials!B:B,MATCH(Movies[[#This Row],[movie_id]],financials!A:A,0))</f>
        <v>63</v>
      </c>
      <c r="L21" s="5">
        <f>INDEX(financials!C:C,MATCH(Movies[[#This Row],[movie_id]],financials!A:A,0))</f>
        <v>1046</v>
      </c>
      <c r="M21" s="5" t="str">
        <f>INDEX(financials!D:D,MATCH(Movies[[#This Row],[movie_id]],financials!A:A,0))</f>
        <v>Millions</v>
      </c>
      <c r="N21" s="5" t="str">
        <f>INDEX(financials!E:E,MATCH(Movies[[#This Row],[movie_id]],financials!A:A,0))</f>
        <v>USD</v>
      </c>
      <c r="O21" s="5"/>
      <c r="P21" s="5">
        <f>INDEX(Financials[],MATCH(Movies[[#This Row],[movie_id]:[movie_id]],Financials[[movie_id]:[movie_id]],0),MATCH("budget",Financials[#Headers],0))</f>
        <v>63</v>
      </c>
      <c r="Q21" s="5">
        <f>INDEX(Financials[],MATCH(Movies[[#This Row],[movie_id]:[movie_id]],Financials[[movie_id]:[movie_id]],0),MATCH("revenue",Financials[#Headers],0))</f>
        <v>1046</v>
      </c>
      <c r="R21" s="5" t="str">
        <f>INDEX(Financials[],MATCH(Movies[[#This Row],[movie_id]:[movie_id]],Financials[[movie_id]:[movie_id]],0),MATCH("unit",Financials[#Headers],0))</f>
        <v>Millions</v>
      </c>
      <c r="S21" s="5" t="str">
        <f>INDEX(Financials[],MATCH(Movies[[#This Row],[movie_id]:[movie_id]],Financials[[movie_id]:[movie_id]],0),MATCH("currency",Financials[#Headers],0))</f>
        <v>USD</v>
      </c>
      <c r="T21" s="5"/>
      <c r="U21" s="5">
        <f>INDEX(financials!$A:$D,MATCH(Movies[[#This Row],[movie_id]],financials!$A:$A,0), MATCH("revenue",financials!$1:$1,0))</f>
        <v>1046</v>
      </c>
      <c r="V21" s="5">
        <f>INDEX(financials!$A:$D,MATCH(Movies[[#This Row],[movie_id]],financials!$A:$A,0), MATCH("budget",financials!$1:$1,0))</f>
        <v>63</v>
      </c>
      <c r="W21" s="5" t="str">
        <f>INDEX(financials!$A:$D,MATCH(Movies[[#This Row],[movie_id]],financials!$A:$A,0), MATCH("unit",financials!$1:$1,0))</f>
        <v>Millions</v>
      </c>
      <c r="X21" s="5" t="e">
        <f>INDEX(financials!$A:$D,MATCH(Movies[[#This Row],[movie_id]],financials!$A:$A,0), MATCH("currency",financials!$1:$1,0))</f>
        <v>#REF!</v>
      </c>
      <c r="Y21" s="8">
        <f>IF(Movies[[#This Row],[unit3]]="Billions",Movies[[#This Row],[budget5]]*1000,Movies[[#This Row],[budget5]])</f>
        <v>63</v>
      </c>
      <c r="Z21" s="8">
        <f>IF(Movies[[#This Row],[unit3]]="Billions",Movies[[#This Row],[revenue3]]*1000,Movies[[#This Row],[revenue3]])</f>
        <v>1046</v>
      </c>
      <c r="AA21" s="8">
        <f>IF(Movies[[#This Row],[currency2]]="INR",Movies[[#This Row],[budget(mln)]]/92,Movies[[#This Row],[budget(mln)]])</f>
        <v>63</v>
      </c>
      <c r="AB21" s="8">
        <f>IF(Movies[[#This Row],[currency2]]="INR",Movies[[#This Row],[revenue(mln)]]/92,Movies[[#This Row],[revenue(mln)]])</f>
        <v>1046</v>
      </c>
    </row>
    <row r="22" spans="1:28" x14ac:dyDescent="0.35">
      <c r="A22" s="3">
        <v>124</v>
      </c>
      <c r="B22" t="s">
        <v>130</v>
      </c>
      <c r="D22">
        <v>2019</v>
      </c>
      <c r="E22">
        <v>8.5</v>
      </c>
      <c r="F22" t="str">
        <f>TRIM(Movies[[#This Row],[studio]])</f>
        <v/>
      </c>
      <c r="H22">
        <v>5</v>
      </c>
      <c r="I22">
        <f>INDEX(financials!B:B,MATCH(VALUE(LEFT(Movies[[#This Row],[movie_id]],3)),financials!A:A,0))</f>
        <v>15.5</v>
      </c>
      <c r="J22">
        <f>VLOOKUP(Movies[[#This Row],[movie_id]],financials!A:C,2,FALSE)</f>
        <v>15.5</v>
      </c>
      <c r="K22" s="5">
        <f>INDEX(financials!B:B,MATCH(Movies[[#This Row],[movie_id]],financials!A:A,0))</f>
        <v>15.5</v>
      </c>
      <c r="L22" s="5">
        <f>INDEX(financials!C:C,MATCH(Movies[[#This Row],[movie_id]],financials!A:A,0))</f>
        <v>263.10000000000002</v>
      </c>
      <c r="M22" s="5" t="str">
        <f>INDEX(financials!D:D,MATCH(Movies[[#This Row],[movie_id]],financials!A:A,0))</f>
        <v>Millions</v>
      </c>
      <c r="N22" s="5" t="str">
        <f>INDEX(financials!E:E,MATCH(Movies[[#This Row],[movie_id]],financials!A:A,0))</f>
        <v>USD</v>
      </c>
      <c r="O22" s="5"/>
      <c r="P22" s="5">
        <f>INDEX(Financials[],MATCH(Movies[[#This Row],[movie_id]:[movie_id]],Financials[[movie_id]:[movie_id]],0),MATCH("budget",Financials[#Headers],0))</f>
        <v>15.5</v>
      </c>
      <c r="Q22" s="5">
        <f>INDEX(Financials[],MATCH(Movies[[#This Row],[movie_id]:[movie_id]],Financials[[movie_id]:[movie_id]],0),MATCH("revenue",Financials[#Headers],0))</f>
        <v>263.10000000000002</v>
      </c>
      <c r="R22" s="5" t="str">
        <f>INDEX(Financials[],MATCH(Movies[[#This Row],[movie_id]:[movie_id]],Financials[[movie_id]:[movie_id]],0),MATCH("unit",Financials[#Headers],0))</f>
        <v>Millions</v>
      </c>
      <c r="S22" s="5" t="str">
        <f>INDEX(Financials[],MATCH(Movies[[#This Row],[movie_id]:[movie_id]],Financials[[movie_id]:[movie_id]],0),MATCH("currency",Financials[#Headers],0))</f>
        <v>USD</v>
      </c>
      <c r="T22" s="5"/>
      <c r="U22" s="5">
        <f>INDEX(financials!$A:$D,MATCH(Movies[[#This Row],[movie_id]],financials!$A:$A,0), MATCH("revenue",financials!$1:$1,0))</f>
        <v>263.10000000000002</v>
      </c>
      <c r="V22" s="5">
        <f>INDEX(financials!$A:$D,MATCH(Movies[[#This Row],[movie_id]],financials!$A:$A,0), MATCH("budget",financials!$1:$1,0))</f>
        <v>15.5</v>
      </c>
      <c r="W22" s="5" t="str">
        <f>INDEX(financials!$A:$D,MATCH(Movies[[#This Row],[movie_id]],financials!$A:$A,0), MATCH("unit",financials!$1:$1,0))</f>
        <v>Millions</v>
      </c>
      <c r="X22" s="5" t="e">
        <f>INDEX(financials!$A:$D,MATCH(Movies[[#This Row],[movie_id]],financials!$A:$A,0), MATCH("currency",financials!$1:$1,0))</f>
        <v>#REF!</v>
      </c>
      <c r="Y22" s="8">
        <f>IF(Movies[[#This Row],[unit3]]="Billions",Movies[[#This Row],[budget5]]*1000,Movies[[#This Row],[budget5]])</f>
        <v>15.5</v>
      </c>
      <c r="Z22" s="8">
        <f>IF(Movies[[#This Row],[unit3]]="Billions",Movies[[#This Row],[revenue3]]*1000,Movies[[#This Row],[revenue3]])</f>
        <v>263.10000000000002</v>
      </c>
      <c r="AA22" s="8">
        <f>IF(Movies[[#This Row],[currency2]]="INR",Movies[[#This Row],[budget(mln)]]/92,Movies[[#This Row],[budget(mln)]])</f>
        <v>15.5</v>
      </c>
      <c r="AB22" s="8">
        <f>IF(Movies[[#This Row],[currency2]]="INR",Movies[[#This Row],[revenue(mln)]]/92,Movies[[#This Row],[revenue(mln)]])</f>
        <v>263.10000000000002</v>
      </c>
    </row>
    <row r="23" spans="1:28" x14ac:dyDescent="0.35">
      <c r="A23" s="3">
        <v>125</v>
      </c>
      <c r="B23" t="s">
        <v>151</v>
      </c>
      <c r="C23" t="s">
        <v>152</v>
      </c>
      <c r="D23">
        <v>2019</v>
      </c>
      <c r="E23">
        <v>8.4</v>
      </c>
      <c r="F23" t="str">
        <f>TRIM(Movies[[#This Row],[studio]])</f>
        <v>Marvel Studios</v>
      </c>
      <c r="G23" t="s">
        <v>5</v>
      </c>
      <c r="H23">
        <v>5</v>
      </c>
      <c r="I23">
        <f>INDEX(financials!B:B,MATCH(VALUE(LEFT(Movies[[#This Row],[movie_id]],3)),financials!A:A,0))</f>
        <v>400</v>
      </c>
      <c r="J23">
        <f>VLOOKUP(Movies[[#This Row],[movie_id]],financials!A:C,2,FALSE)</f>
        <v>400</v>
      </c>
      <c r="K23" s="5">
        <f>INDEX(financials!B:B,MATCH(Movies[[#This Row],[movie_id]],financials!A:A,0))</f>
        <v>400</v>
      </c>
      <c r="L23" s="5">
        <f>INDEX(financials!C:C,MATCH(Movies[[#This Row],[movie_id]],financials!A:A,0))</f>
        <v>2798</v>
      </c>
      <c r="M23" s="5" t="str">
        <f>INDEX(financials!D:D,MATCH(Movies[[#This Row],[movie_id]],financials!A:A,0))</f>
        <v>Millions</v>
      </c>
      <c r="N23" s="5" t="str">
        <f>INDEX(financials!E:E,MATCH(Movies[[#This Row],[movie_id]],financials!A:A,0))</f>
        <v>USD</v>
      </c>
      <c r="O23" s="5"/>
      <c r="P23" s="5">
        <f>INDEX(Financials[],MATCH(Movies[[#This Row],[movie_id]:[movie_id]],Financials[[movie_id]:[movie_id]],0),MATCH("budget",Financials[#Headers],0))</f>
        <v>400</v>
      </c>
      <c r="Q23" s="5">
        <f>INDEX(Financials[],MATCH(Movies[[#This Row],[movie_id]:[movie_id]],Financials[[movie_id]:[movie_id]],0),MATCH("revenue",Financials[#Headers],0))</f>
        <v>2798</v>
      </c>
      <c r="R23" s="5" t="str">
        <f>INDEX(Financials[],MATCH(Movies[[#This Row],[movie_id]:[movie_id]],Financials[[movie_id]:[movie_id]],0),MATCH("unit",Financials[#Headers],0))</f>
        <v>Millions</v>
      </c>
      <c r="S23" s="5" t="str">
        <f>INDEX(Financials[],MATCH(Movies[[#This Row],[movie_id]:[movie_id]],Financials[[movie_id]:[movie_id]],0),MATCH("currency",Financials[#Headers],0))</f>
        <v>USD</v>
      </c>
      <c r="T23" s="5"/>
      <c r="U23" s="5">
        <f>INDEX(financials!$A:$D,MATCH(Movies[[#This Row],[movie_id]],financials!$A:$A,0), MATCH("revenue",financials!$1:$1,0))</f>
        <v>2798</v>
      </c>
      <c r="V23" s="5">
        <f>INDEX(financials!$A:$D,MATCH(Movies[[#This Row],[movie_id]],financials!$A:$A,0), MATCH("budget",financials!$1:$1,0))</f>
        <v>400</v>
      </c>
      <c r="W23" s="5" t="str">
        <f>INDEX(financials!$A:$D,MATCH(Movies[[#This Row],[movie_id]],financials!$A:$A,0), MATCH("unit",financials!$1:$1,0))</f>
        <v>Millions</v>
      </c>
      <c r="X23" s="5" t="e">
        <f>INDEX(financials!$A:$D,MATCH(Movies[[#This Row],[movie_id]],financials!$A:$A,0), MATCH("currency",financials!$1:$1,0))</f>
        <v>#REF!</v>
      </c>
      <c r="Y23" s="8">
        <f>IF(Movies[[#This Row],[unit3]]="Billions",Movies[[#This Row],[budget5]]*1000,Movies[[#This Row],[budget5]])</f>
        <v>400</v>
      </c>
      <c r="Z23" s="8">
        <f>IF(Movies[[#This Row],[unit3]]="Billions",Movies[[#This Row],[revenue3]]*1000,Movies[[#This Row],[revenue3]])</f>
        <v>2798</v>
      </c>
      <c r="AA23" s="8">
        <f>IF(Movies[[#This Row],[currency2]]="INR",Movies[[#This Row],[budget(mln)]]/92,Movies[[#This Row],[budget(mln)]])</f>
        <v>400</v>
      </c>
      <c r="AB23" s="8">
        <f>IF(Movies[[#This Row],[currency2]]="INR",Movies[[#This Row],[revenue(mln)]]/92,Movies[[#This Row],[revenue(mln)]])</f>
        <v>2798</v>
      </c>
    </row>
    <row r="24" spans="1:28" x14ac:dyDescent="0.35">
      <c r="A24" s="3">
        <v>126</v>
      </c>
      <c r="B24" t="s">
        <v>151</v>
      </c>
      <c r="C24" t="s">
        <v>153</v>
      </c>
      <c r="D24">
        <v>2018</v>
      </c>
      <c r="E24">
        <v>8.4</v>
      </c>
      <c r="F24" t="str">
        <f>TRIM(Movies[[#This Row],[studio]])</f>
        <v>Marvel Studios</v>
      </c>
      <c r="G24" t="s">
        <v>5</v>
      </c>
      <c r="H24">
        <v>5</v>
      </c>
      <c r="I24">
        <f>INDEX(financials!B:B,MATCH(VALUE(LEFT(Movies[[#This Row],[movie_id]],3)),financials!A:A,0))</f>
        <v>400</v>
      </c>
      <c r="J24">
        <f>VLOOKUP(Movies[[#This Row],[movie_id]],financials!A:C,2,FALSE)</f>
        <v>400</v>
      </c>
      <c r="K24" s="5">
        <f>INDEX(financials!B:B,MATCH(Movies[[#This Row],[movie_id]],financials!A:A,0))</f>
        <v>400</v>
      </c>
      <c r="L24" s="5">
        <f>INDEX(financials!C:C,MATCH(Movies[[#This Row],[movie_id]],financials!A:A,0))</f>
        <v>2048</v>
      </c>
      <c r="M24" s="5" t="str">
        <f>INDEX(financials!D:D,MATCH(Movies[[#This Row],[movie_id]],financials!A:A,0))</f>
        <v>Millions</v>
      </c>
      <c r="N24" s="5" t="str">
        <f>INDEX(financials!E:E,MATCH(Movies[[#This Row],[movie_id]],financials!A:A,0))</f>
        <v>USD</v>
      </c>
      <c r="O24" s="5"/>
      <c r="P24" s="5">
        <f>INDEX(Financials[],MATCH(Movies[[#This Row],[movie_id]:[movie_id]],Financials[[movie_id]:[movie_id]],0),MATCH("budget",Financials[#Headers],0))</f>
        <v>400</v>
      </c>
      <c r="Q24" s="5">
        <f>INDEX(Financials[],MATCH(Movies[[#This Row],[movie_id]:[movie_id]],Financials[[movie_id]:[movie_id]],0),MATCH("revenue",Financials[#Headers],0))</f>
        <v>2048</v>
      </c>
      <c r="R24" s="5" t="str">
        <f>INDEX(Financials[],MATCH(Movies[[#This Row],[movie_id]:[movie_id]],Financials[[movie_id]:[movie_id]],0),MATCH("unit",Financials[#Headers],0))</f>
        <v>Millions</v>
      </c>
      <c r="S24" s="5" t="str">
        <f>INDEX(Financials[],MATCH(Movies[[#This Row],[movie_id]:[movie_id]],Financials[[movie_id]:[movie_id]],0),MATCH("currency",Financials[#Headers],0))</f>
        <v>USD</v>
      </c>
      <c r="T24" s="5"/>
      <c r="U24" s="5">
        <f>INDEX(financials!$A:$D,MATCH(Movies[[#This Row],[movie_id]],financials!$A:$A,0), MATCH("revenue",financials!$1:$1,0))</f>
        <v>2048</v>
      </c>
      <c r="V24" s="5">
        <f>INDEX(financials!$A:$D,MATCH(Movies[[#This Row],[movie_id]],financials!$A:$A,0), MATCH("budget",financials!$1:$1,0))</f>
        <v>400</v>
      </c>
      <c r="W24" s="5" t="str">
        <f>INDEX(financials!$A:$D,MATCH(Movies[[#This Row],[movie_id]],financials!$A:$A,0), MATCH("unit",financials!$1:$1,0))</f>
        <v>Millions</v>
      </c>
      <c r="X24" s="5" t="e">
        <f>INDEX(financials!$A:$D,MATCH(Movies[[#This Row],[movie_id]],financials!$A:$A,0), MATCH("currency",financials!$1:$1,0))</f>
        <v>#REF!</v>
      </c>
      <c r="Y24" s="8">
        <f>IF(Movies[[#This Row],[unit3]]="Billions",Movies[[#This Row],[budget5]]*1000,Movies[[#This Row],[budget5]])</f>
        <v>400</v>
      </c>
      <c r="Z24" s="8">
        <f>IF(Movies[[#This Row],[unit3]]="Billions",Movies[[#This Row],[revenue3]]*1000,Movies[[#This Row],[revenue3]])</f>
        <v>2048</v>
      </c>
      <c r="AA24" s="8">
        <f>IF(Movies[[#This Row],[currency2]]="INR",Movies[[#This Row],[budget(mln)]]/92,Movies[[#This Row],[budget(mln)]])</f>
        <v>400</v>
      </c>
      <c r="AB24" s="8">
        <f>IF(Movies[[#This Row],[currency2]]="INR",Movies[[#This Row],[revenue(mln)]]/92,Movies[[#This Row],[revenue(mln)]])</f>
        <v>2048</v>
      </c>
    </row>
    <row r="25" spans="1:28" x14ac:dyDescent="0.35">
      <c r="A25" s="3">
        <v>127</v>
      </c>
      <c r="B25" t="s">
        <v>131</v>
      </c>
      <c r="D25">
        <v>1955</v>
      </c>
      <c r="E25">
        <v>8.3000000000000007</v>
      </c>
      <c r="F25" t="str">
        <f>TRIM(Movies[[#This Row],[studio]])</f>
        <v>Government of West Bengal</v>
      </c>
      <c r="G25" t="s">
        <v>115</v>
      </c>
      <c r="H25">
        <v>7</v>
      </c>
      <c r="I25">
        <f>INDEX(financials!B:B,MATCH(VALUE(LEFT(Movies[[#This Row],[movie_id]],3)),financials!A:A,0))</f>
        <v>70</v>
      </c>
      <c r="J25">
        <f>VLOOKUP(Movies[[#This Row],[movie_id]],financials!A:C,2,FALSE)</f>
        <v>70</v>
      </c>
      <c r="K25" s="5">
        <f>INDEX(financials!B:B,MATCH(Movies[[#This Row],[movie_id]],financials!A:A,0))</f>
        <v>70</v>
      </c>
      <c r="L25" s="5">
        <f>INDEX(financials!C:C,MATCH(Movies[[#This Row],[movie_id]],financials!A:A,0))</f>
        <v>100</v>
      </c>
      <c r="M25" s="5" t="str">
        <f>INDEX(financials!D:D,MATCH(Movies[[#This Row],[movie_id]],financials!A:A,0))</f>
        <v>Millions</v>
      </c>
      <c r="N25" s="5" t="str">
        <f>INDEX(financials!E:E,MATCH(Movies[[#This Row],[movie_id]],financials!A:A,0))</f>
        <v>INR</v>
      </c>
      <c r="O25" s="5"/>
      <c r="P25" s="5">
        <f>INDEX(Financials[],MATCH(Movies[[#This Row],[movie_id]:[movie_id]],Financials[[movie_id]:[movie_id]],0),MATCH("budget",Financials[#Headers],0))</f>
        <v>70</v>
      </c>
      <c r="Q25" s="5">
        <f>INDEX(Financials[],MATCH(Movies[[#This Row],[movie_id]:[movie_id]],Financials[[movie_id]:[movie_id]],0),MATCH("revenue",Financials[#Headers],0))</f>
        <v>100</v>
      </c>
      <c r="R25" s="5" t="str">
        <f>INDEX(Financials[],MATCH(Movies[[#This Row],[movie_id]:[movie_id]],Financials[[movie_id]:[movie_id]],0),MATCH("unit",Financials[#Headers],0))</f>
        <v>Millions</v>
      </c>
      <c r="S25" s="5" t="str">
        <f>INDEX(Financials[],MATCH(Movies[[#This Row],[movie_id]:[movie_id]],Financials[[movie_id]:[movie_id]],0),MATCH("currency",Financials[#Headers],0))</f>
        <v>INR</v>
      </c>
      <c r="T25" s="5"/>
      <c r="U25" s="5">
        <f>INDEX(financials!$A:$D,MATCH(Movies[[#This Row],[movie_id]],financials!$A:$A,0), MATCH("revenue",financials!$1:$1,0))</f>
        <v>100</v>
      </c>
      <c r="V25" s="5">
        <f>INDEX(financials!$A:$D,MATCH(Movies[[#This Row],[movie_id]],financials!$A:$A,0), MATCH("budget",financials!$1:$1,0))</f>
        <v>70</v>
      </c>
      <c r="W25" s="5" t="str">
        <f>INDEX(financials!$A:$D,MATCH(Movies[[#This Row],[movie_id]],financials!$A:$A,0), MATCH("unit",financials!$1:$1,0))</f>
        <v>Millions</v>
      </c>
      <c r="X25" s="5" t="e">
        <f>INDEX(financials!$A:$D,MATCH(Movies[[#This Row],[movie_id]],financials!$A:$A,0), MATCH("currency",financials!$1:$1,0))</f>
        <v>#REF!</v>
      </c>
      <c r="Y25" s="8">
        <f>IF(Movies[[#This Row],[unit3]]="Billions",Movies[[#This Row],[budget5]]*1000,Movies[[#This Row],[budget5]])</f>
        <v>70</v>
      </c>
      <c r="Z25" s="8">
        <f>IF(Movies[[#This Row],[unit3]]="Billions",Movies[[#This Row],[revenue3]]*1000,Movies[[#This Row],[revenue3]])</f>
        <v>100</v>
      </c>
      <c r="AA25" s="8">
        <f>IF(Movies[[#This Row],[currency2]]="INR",Movies[[#This Row],[budget(mln)]]/92,Movies[[#This Row],[budget(mln)]])</f>
        <v>0.76086956521739135</v>
      </c>
      <c r="AB25" s="8">
        <f>IF(Movies[[#This Row],[currency2]]="INR",Movies[[#This Row],[revenue(mln)]]/92,Movies[[#This Row],[revenue(mln)]])</f>
        <v>1.0869565217391304</v>
      </c>
    </row>
    <row r="26" spans="1:28" x14ac:dyDescent="0.35">
      <c r="A26" s="3">
        <v>128</v>
      </c>
      <c r="B26" t="s">
        <v>132</v>
      </c>
      <c r="D26">
        <v>2007</v>
      </c>
      <c r="E26">
        <v>8.3000000000000007</v>
      </c>
      <c r="F26" t="str">
        <f>TRIM(Movies[[#This Row],[studio]])</f>
        <v/>
      </c>
      <c r="H26">
        <v>1</v>
      </c>
      <c r="I26">
        <f>INDEX(financials!B:B,MATCH(VALUE(LEFT(Movies[[#This Row],[movie_id]],3)),financials!A:A,0))</f>
        <v>120</v>
      </c>
      <c r="J26">
        <f>VLOOKUP(Movies[[#This Row],[movie_id]],financials!A:C,2,FALSE)</f>
        <v>120</v>
      </c>
      <c r="K26" s="5">
        <f>INDEX(financials!B:B,MATCH(Movies[[#This Row],[movie_id]],financials!A:A,0))</f>
        <v>120</v>
      </c>
      <c r="L26" s="5">
        <f>INDEX(financials!C:C,MATCH(Movies[[#This Row],[movie_id]],financials!A:A,0))</f>
        <v>1350</v>
      </c>
      <c r="M26" s="5" t="str">
        <f>INDEX(financials!D:D,MATCH(Movies[[#This Row],[movie_id]],financials!A:A,0))</f>
        <v>Millions</v>
      </c>
      <c r="N26" s="5" t="str">
        <f>INDEX(financials!E:E,MATCH(Movies[[#This Row],[movie_id]],financials!A:A,0))</f>
        <v>INR</v>
      </c>
      <c r="O26" s="5"/>
      <c r="P26" s="5">
        <f>INDEX(Financials[],MATCH(Movies[[#This Row],[movie_id]:[movie_id]],Financials[[movie_id]:[movie_id]],0),MATCH("budget",Financials[#Headers],0))</f>
        <v>120</v>
      </c>
      <c r="Q26" s="5">
        <f>INDEX(Financials[],MATCH(Movies[[#This Row],[movie_id]:[movie_id]],Financials[[movie_id]:[movie_id]],0),MATCH("revenue",Financials[#Headers],0))</f>
        <v>1350</v>
      </c>
      <c r="R26" s="5" t="str">
        <f>INDEX(Financials[],MATCH(Movies[[#This Row],[movie_id]:[movie_id]],Financials[[movie_id]:[movie_id]],0),MATCH("unit",Financials[#Headers],0))</f>
        <v>Millions</v>
      </c>
      <c r="S26" s="5" t="str">
        <f>INDEX(Financials[],MATCH(Movies[[#This Row],[movie_id]:[movie_id]],Financials[[movie_id]:[movie_id]],0),MATCH("currency",Financials[#Headers],0))</f>
        <v>INR</v>
      </c>
      <c r="T26" s="5"/>
      <c r="U26" s="5">
        <f>INDEX(financials!$A:$D,MATCH(Movies[[#This Row],[movie_id]],financials!$A:$A,0), MATCH("revenue",financials!$1:$1,0))</f>
        <v>1350</v>
      </c>
      <c r="V26" s="5">
        <f>INDEX(financials!$A:$D,MATCH(Movies[[#This Row],[movie_id]],financials!$A:$A,0), MATCH("budget",financials!$1:$1,0))</f>
        <v>120</v>
      </c>
      <c r="W26" s="5" t="str">
        <f>INDEX(financials!$A:$D,MATCH(Movies[[#This Row],[movie_id]],financials!$A:$A,0), MATCH("unit",financials!$1:$1,0))</f>
        <v>Millions</v>
      </c>
      <c r="X26" s="5" t="e">
        <f>INDEX(financials!$A:$D,MATCH(Movies[[#This Row],[movie_id]],financials!$A:$A,0), MATCH("currency",financials!$1:$1,0))</f>
        <v>#REF!</v>
      </c>
      <c r="Y26" s="8">
        <f>IF(Movies[[#This Row],[unit3]]="Billions",Movies[[#This Row],[budget5]]*1000,Movies[[#This Row],[budget5]])</f>
        <v>120</v>
      </c>
      <c r="Z26" s="8">
        <f>IF(Movies[[#This Row],[unit3]]="Billions",Movies[[#This Row],[revenue3]]*1000,Movies[[#This Row],[revenue3]])</f>
        <v>1350</v>
      </c>
      <c r="AA26" s="8">
        <f>IF(Movies[[#This Row],[currency2]]="INR",Movies[[#This Row],[budget(mln)]]/92,Movies[[#This Row],[budget(mln)]])</f>
        <v>1.3043478260869565</v>
      </c>
      <c r="AB26" s="8">
        <f>IF(Movies[[#This Row],[currency2]]="INR",Movies[[#This Row],[revenue(mln)]]/92,Movies[[#This Row],[revenue(mln)]])</f>
        <v>14.673913043478262</v>
      </c>
    </row>
    <row r="27" spans="1:28" x14ac:dyDescent="0.35">
      <c r="A27" s="3">
        <v>129</v>
      </c>
      <c r="B27" t="s">
        <v>133</v>
      </c>
      <c r="D27">
        <v>2003</v>
      </c>
      <c r="E27">
        <v>8.1</v>
      </c>
      <c r="F27" t="str">
        <f>TRIM(Movies[[#This Row],[studio]])</f>
        <v>Vinod Chopra Productions</v>
      </c>
      <c r="G27" t="s">
        <v>18</v>
      </c>
      <c r="H27">
        <v>1</v>
      </c>
      <c r="I27">
        <f>INDEX(financials!B:B,MATCH(VALUE(LEFT(Movies[[#This Row],[movie_id]],3)),financials!A:A,0))</f>
        <v>100</v>
      </c>
      <c r="J27">
        <f>VLOOKUP(Movies[[#This Row],[movie_id]],financials!A:C,2,FALSE)</f>
        <v>100</v>
      </c>
      <c r="K27" s="5">
        <f>INDEX(financials!B:B,MATCH(Movies[[#This Row],[movie_id]],financials!A:A,0))</f>
        <v>100</v>
      </c>
      <c r="L27" s="5">
        <f>INDEX(financials!C:C,MATCH(Movies[[#This Row],[movie_id]],financials!A:A,0))</f>
        <v>410</v>
      </c>
      <c r="M27" s="5" t="str">
        <f>INDEX(financials!D:D,MATCH(Movies[[#This Row],[movie_id]],financials!A:A,0))</f>
        <v>Millions</v>
      </c>
      <c r="N27" s="5" t="str">
        <f>INDEX(financials!E:E,MATCH(Movies[[#This Row],[movie_id]],financials!A:A,0))</f>
        <v>INR</v>
      </c>
      <c r="O27" s="5"/>
      <c r="P27" s="5">
        <f>INDEX(Financials[],MATCH(Movies[[#This Row],[movie_id]:[movie_id]],Financials[[movie_id]:[movie_id]],0),MATCH("budget",Financials[#Headers],0))</f>
        <v>100</v>
      </c>
      <c r="Q27" s="5">
        <f>INDEX(Financials[],MATCH(Movies[[#This Row],[movie_id]:[movie_id]],Financials[[movie_id]:[movie_id]],0),MATCH("revenue",Financials[#Headers],0))</f>
        <v>410</v>
      </c>
      <c r="R27" s="5" t="str">
        <f>INDEX(Financials[],MATCH(Movies[[#This Row],[movie_id]:[movie_id]],Financials[[movie_id]:[movie_id]],0),MATCH("unit",Financials[#Headers],0))</f>
        <v>Millions</v>
      </c>
      <c r="S27" s="5" t="str">
        <f>INDEX(Financials[],MATCH(Movies[[#This Row],[movie_id]:[movie_id]],Financials[[movie_id]:[movie_id]],0),MATCH("currency",Financials[#Headers],0))</f>
        <v>INR</v>
      </c>
      <c r="T27" s="5"/>
      <c r="U27" s="5">
        <f>INDEX(financials!$A:$D,MATCH(Movies[[#This Row],[movie_id]],financials!$A:$A,0), MATCH("revenue",financials!$1:$1,0))</f>
        <v>410</v>
      </c>
      <c r="V27" s="5">
        <f>INDEX(financials!$A:$D,MATCH(Movies[[#This Row],[movie_id]],financials!$A:$A,0), MATCH("budget",financials!$1:$1,0))</f>
        <v>100</v>
      </c>
      <c r="W27" s="5" t="str">
        <f>INDEX(financials!$A:$D,MATCH(Movies[[#This Row],[movie_id]],financials!$A:$A,0), MATCH("unit",financials!$1:$1,0))</f>
        <v>Millions</v>
      </c>
      <c r="X27" s="5" t="e">
        <f>INDEX(financials!$A:$D,MATCH(Movies[[#This Row],[movie_id]],financials!$A:$A,0), MATCH("currency",financials!$1:$1,0))</f>
        <v>#REF!</v>
      </c>
      <c r="Y27" s="8">
        <f>IF(Movies[[#This Row],[unit3]]="Billions",Movies[[#This Row],[budget5]]*1000,Movies[[#This Row],[budget5]])</f>
        <v>100</v>
      </c>
      <c r="Z27" s="8">
        <f>IF(Movies[[#This Row],[unit3]]="Billions",Movies[[#This Row],[revenue3]]*1000,Movies[[#This Row],[revenue3]])</f>
        <v>410</v>
      </c>
      <c r="AA27" s="8">
        <f>IF(Movies[[#This Row],[currency2]]="INR",Movies[[#This Row],[budget(mln)]]/92,Movies[[#This Row],[budget(mln)]])</f>
        <v>1.0869565217391304</v>
      </c>
      <c r="AB27" s="8">
        <f>IF(Movies[[#This Row],[currency2]]="INR",Movies[[#This Row],[revenue(mln)]]/92,Movies[[#This Row],[revenue(mln)]])</f>
        <v>4.4565217391304346</v>
      </c>
    </row>
    <row r="28" spans="1:28" x14ac:dyDescent="0.35">
      <c r="A28" s="3">
        <v>124</v>
      </c>
      <c r="B28" t="s">
        <v>130</v>
      </c>
      <c r="D28">
        <v>2019</v>
      </c>
      <c r="E28">
        <v>8.5</v>
      </c>
      <c r="F28" t="str">
        <f>TRIM(Movies[[#This Row],[studio]])</f>
        <v/>
      </c>
      <c r="H28">
        <v>5</v>
      </c>
      <c r="I28">
        <f>INDEX(financials!B:B,MATCH(VALUE(LEFT(Movies[[#This Row],[movie_id]],3)),financials!A:A,0))</f>
        <v>15.5</v>
      </c>
      <c r="J28">
        <f>VLOOKUP(Movies[[#This Row],[movie_id]],financials!A:C,2,FALSE)</f>
        <v>15.5</v>
      </c>
      <c r="K28" s="5">
        <f>INDEX(financials!B:B,MATCH(Movies[[#This Row],[movie_id]],financials!A:A,0))</f>
        <v>15.5</v>
      </c>
      <c r="L28" s="5">
        <f>INDEX(financials!C:C,MATCH(Movies[[#This Row],[movie_id]],financials!A:A,0))</f>
        <v>263.10000000000002</v>
      </c>
      <c r="M28" s="5" t="str">
        <f>INDEX(financials!D:D,MATCH(Movies[[#This Row],[movie_id]],financials!A:A,0))</f>
        <v>Millions</v>
      </c>
      <c r="N28" s="5" t="str">
        <f>INDEX(financials!E:E,MATCH(Movies[[#This Row],[movie_id]],financials!A:A,0))</f>
        <v>USD</v>
      </c>
      <c r="O28" s="5"/>
      <c r="P28" s="5">
        <f>INDEX(Financials[],MATCH(Movies[[#This Row],[movie_id]:[movie_id]],Financials[[movie_id]:[movie_id]],0),MATCH("budget",Financials[#Headers],0))</f>
        <v>15.5</v>
      </c>
      <c r="Q28" s="5">
        <f>INDEX(Financials[],MATCH(Movies[[#This Row],[movie_id]:[movie_id]],Financials[[movie_id]:[movie_id]],0),MATCH("revenue",Financials[#Headers],0))</f>
        <v>263.10000000000002</v>
      </c>
      <c r="R28" s="5" t="str">
        <f>INDEX(Financials[],MATCH(Movies[[#This Row],[movie_id]:[movie_id]],Financials[[movie_id]:[movie_id]],0),MATCH("unit",Financials[#Headers],0))</f>
        <v>Millions</v>
      </c>
      <c r="S28" s="5" t="str">
        <f>INDEX(Financials[],MATCH(Movies[[#This Row],[movie_id]:[movie_id]],Financials[[movie_id]:[movie_id]],0),MATCH("currency",Financials[#Headers],0))</f>
        <v>USD</v>
      </c>
      <c r="T28" s="5"/>
      <c r="U28" s="5">
        <f>INDEX(financials!$A:$D,MATCH(Movies[[#This Row],[movie_id]],financials!$A:$A,0), MATCH("revenue",financials!$1:$1,0))</f>
        <v>263.10000000000002</v>
      </c>
      <c r="V28" s="5">
        <f>INDEX(financials!$A:$D,MATCH(Movies[[#This Row],[movie_id]],financials!$A:$A,0), MATCH("budget",financials!$1:$1,0))</f>
        <v>15.5</v>
      </c>
      <c r="W28" s="5" t="str">
        <f>INDEX(financials!$A:$D,MATCH(Movies[[#This Row],[movie_id]],financials!$A:$A,0), MATCH("unit",financials!$1:$1,0))</f>
        <v>Millions</v>
      </c>
      <c r="X28" s="5" t="e">
        <f>INDEX(financials!$A:$D,MATCH(Movies[[#This Row],[movie_id]],financials!$A:$A,0), MATCH("currency",financials!$1:$1,0))</f>
        <v>#REF!</v>
      </c>
      <c r="Y28" s="8">
        <f>IF(Movies[[#This Row],[unit3]]="Billions",Movies[[#This Row],[budget5]]*1000,Movies[[#This Row],[budget5]])</f>
        <v>15.5</v>
      </c>
      <c r="Z28" s="8">
        <f>IF(Movies[[#This Row],[unit3]]="Billions",Movies[[#This Row],[revenue3]]*1000,Movies[[#This Row],[revenue3]])</f>
        <v>263.10000000000002</v>
      </c>
      <c r="AA28" s="8">
        <f>IF(Movies[[#This Row],[currency2]]="INR",Movies[[#This Row],[budget(mln)]]/92,Movies[[#This Row],[budget(mln)]])</f>
        <v>15.5</v>
      </c>
      <c r="AB28" s="8">
        <f>IF(Movies[[#This Row],[currency2]]="INR",Movies[[#This Row],[revenue(mln)]]/92,Movies[[#This Row],[revenue(mln)]])</f>
        <v>263.10000000000002</v>
      </c>
    </row>
    <row r="29" spans="1:28" x14ac:dyDescent="0.35">
      <c r="A29" s="3">
        <v>105</v>
      </c>
      <c r="B29" t="s">
        <v>144</v>
      </c>
      <c r="C29" t="s">
        <v>147</v>
      </c>
      <c r="D29">
        <v>2022</v>
      </c>
      <c r="E29">
        <v>6.8</v>
      </c>
      <c r="F29" t="str">
        <f>TRIM(Movies[[#This Row],[studio]])</f>
        <v>Marvel Studios</v>
      </c>
      <c r="G29" t="s">
        <v>5</v>
      </c>
      <c r="H29">
        <v>5</v>
      </c>
      <c r="I29">
        <f>INDEX(financials!B:B,MATCH(VALUE(LEFT(Movies[[#This Row],[movie_id]],3)),financials!A:A,0))</f>
        <v>250</v>
      </c>
      <c r="J29">
        <f>VLOOKUP(Movies[[#This Row],[movie_id]],financials!A:C,2,FALSE)</f>
        <v>250</v>
      </c>
      <c r="K29" s="5">
        <f>INDEX(financials!B:B,MATCH(Movies[[#This Row],[movie_id]],financials!A:A,0))</f>
        <v>250</v>
      </c>
      <c r="L29" s="5">
        <f>INDEX(financials!C:C,MATCH(Movies[[#This Row],[movie_id]],financials!A:A,0))</f>
        <v>670</v>
      </c>
      <c r="M29" s="5" t="str">
        <f>INDEX(financials!D:D,MATCH(Movies[[#This Row],[movie_id]],financials!A:A,0))</f>
        <v>Millions</v>
      </c>
      <c r="N29" s="5" t="str">
        <f>INDEX(financials!E:E,MATCH(Movies[[#This Row],[movie_id]],financials!A:A,0))</f>
        <v>USD</v>
      </c>
      <c r="O29" s="5"/>
      <c r="P29" s="5">
        <f>INDEX(Financials[],MATCH(Movies[[#This Row],[movie_id]:[movie_id]],Financials[[movie_id]:[movie_id]],0),MATCH("budget",Financials[#Headers],0))</f>
        <v>250</v>
      </c>
      <c r="Q29" s="5">
        <f>INDEX(Financials[],MATCH(Movies[[#This Row],[movie_id]:[movie_id]],Financials[[movie_id]:[movie_id]],0),MATCH("revenue",Financials[#Headers],0))</f>
        <v>670</v>
      </c>
      <c r="R29" s="5" t="str">
        <f>INDEX(Financials[],MATCH(Movies[[#This Row],[movie_id]:[movie_id]],Financials[[movie_id]:[movie_id]],0),MATCH("unit",Financials[#Headers],0))</f>
        <v>Millions</v>
      </c>
      <c r="S29" s="5" t="str">
        <f>INDEX(Financials[],MATCH(Movies[[#This Row],[movie_id]:[movie_id]],Financials[[movie_id]:[movie_id]],0),MATCH("currency",Financials[#Headers],0))</f>
        <v>USD</v>
      </c>
      <c r="T29" s="5"/>
      <c r="U29" s="5">
        <f>INDEX(financials!$A:$D,MATCH(Movies[[#This Row],[movie_id]],financials!$A:$A,0), MATCH("revenue",financials!$1:$1,0))</f>
        <v>670</v>
      </c>
      <c r="V29" s="5">
        <f>INDEX(financials!$A:$D,MATCH(Movies[[#This Row],[movie_id]],financials!$A:$A,0), MATCH("budget",financials!$1:$1,0))</f>
        <v>250</v>
      </c>
      <c r="W29" s="5" t="str">
        <f>INDEX(financials!$A:$D,MATCH(Movies[[#This Row],[movie_id]],financials!$A:$A,0), MATCH("unit",financials!$1:$1,0))</f>
        <v>Millions</v>
      </c>
      <c r="X29" s="5" t="e">
        <f>INDEX(financials!$A:$D,MATCH(Movies[[#This Row],[movie_id]],financials!$A:$A,0), MATCH("currency",financials!$1:$1,0))</f>
        <v>#REF!</v>
      </c>
      <c r="Y29" s="8">
        <f>IF(Movies[[#This Row],[unit3]]="Billions",Movies[[#This Row],[budget5]]*1000,Movies[[#This Row],[budget5]])</f>
        <v>250</v>
      </c>
      <c r="Z29" s="8">
        <f>IF(Movies[[#This Row],[unit3]]="Billions",Movies[[#This Row],[revenue3]]*1000,Movies[[#This Row],[revenue3]])</f>
        <v>670</v>
      </c>
      <c r="AA29" s="8">
        <f>IF(Movies[[#This Row],[currency2]]="INR",Movies[[#This Row],[budget(mln)]]/92,Movies[[#This Row],[budget(mln)]])</f>
        <v>250</v>
      </c>
      <c r="AB29" s="8">
        <f>IF(Movies[[#This Row],[currency2]]="INR",Movies[[#This Row],[revenue(mln)]]/92,Movies[[#This Row],[revenue(mln)]])</f>
        <v>670</v>
      </c>
    </row>
    <row r="30" spans="1:28" x14ac:dyDescent="0.35">
      <c r="A30" s="3">
        <v>130</v>
      </c>
      <c r="B30" t="s">
        <v>134</v>
      </c>
      <c r="D30">
        <v>2014</v>
      </c>
      <c r="E30">
        <v>8.1</v>
      </c>
      <c r="F30" t="str">
        <f>TRIM(Movies[[#This Row],[studio]])</f>
        <v>Vinod Chopra Films</v>
      </c>
      <c r="G30" t="s">
        <v>7</v>
      </c>
      <c r="H30">
        <v>1</v>
      </c>
      <c r="I30">
        <f>INDEX(financials!B:B,MATCH(VALUE(LEFT(Movies[[#This Row],[movie_id]],3)),financials!A:A,0))</f>
        <v>850</v>
      </c>
      <c r="J30">
        <f>VLOOKUP(Movies[[#This Row],[movie_id]],financials!A:C,2,FALSE)</f>
        <v>850</v>
      </c>
      <c r="K30" s="5">
        <f>INDEX(financials!B:B,MATCH(Movies[[#This Row],[movie_id]],financials!A:A,0))</f>
        <v>850</v>
      </c>
      <c r="L30" s="5">
        <f>INDEX(financials!C:C,MATCH(Movies[[#This Row],[movie_id]],financials!A:A,0))</f>
        <v>8540</v>
      </c>
      <c r="M30" s="5" t="str">
        <f>INDEX(financials!D:D,MATCH(Movies[[#This Row],[movie_id]],financials!A:A,0))</f>
        <v>Millions</v>
      </c>
      <c r="N30" s="5" t="str">
        <f>INDEX(financials!E:E,MATCH(Movies[[#This Row],[movie_id]],financials!A:A,0))</f>
        <v>INR</v>
      </c>
      <c r="O30" s="5"/>
      <c r="P30" s="5">
        <f>INDEX(Financials[],MATCH(Movies[[#This Row],[movie_id]:[movie_id]],Financials[[movie_id]:[movie_id]],0),MATCH("budget",Financials[#Headers],0))</f>
        <v>850</v>
      </c>
      <c r="Q30" s="5">
        <f>INDEX(Financials[],MATCH(Movies[[#This Row],[movie_id]:[movie_id]],Financials[[movie_id]:[movie_id]],0),MATCH("revenue",Financials[#Headers],0))</f>
        <v>8540</v>
      </c>
      <c r="R30" s="5" t="str">
        <f>INDEX(Financials[],MATCH(Movies[[#This Row],[movie_id]:[movie_id]],Financials[[movie_id]:[movie_id]],0),MATCH("unit",Financials[#Headers],0))</f>
        <v>Millions</v>
      </c>
      <c r="S30" s="5" t="str">
        <f>INDEX(Financials[],MATCH(Movies[[#This Row],[movie_id]:[movie_id]],Financials[[movie_id]:[movie_id]],0),MATCH("currency",Financials[#Headers],0))</f>
        <v>INR</v>
      </c>
      <c r="T30" s="5"/>
      <c r="U30" s="5">
        <f>INDEX(financials!$A:$D,MATCH(Movies[[#This Row],[movie_id]],financials!$A:$A,0), MATCH("revenue",financials!$1:$1,0))</f>
        <v>8540</v>
      </c>
      <c r="V30" s="5">
        <f>INDEX(financials!$A:$D,MATCH(Movies[[#This Row],[movie_id]],financials!$A:$A,0), MATCH("budget",financials!$1:$1,0))</f>
        <v>850</v>
      </c>
      <c r="W30" s="5" t="str">
        <f>INDEX(financials!$A:$D,MATCH(Movies[[#This Row],[movie_id]],financials!$A:$A,0), MATCH("unit",financials!$1:$1,0))</f>
        <v>Millions</v>
      </c>
      <c r="X30" s="5" t="e">
        <f>INDEX(financials!$A:$D,MATCH(Movies[[#This Row],[movie_id]],financials!$A:$A,0), MATCH("currency",financials!$1:$1,0))</f>
        <v>#REF!</v>
      </c>
      <c r="Y30" s="8">
        <f>IF(Movies[[#This Row],[unit3]]="Billions",Movies[[#This Row],[budget5]]*1000,Movies[[#This Row],[budget5]])</f>
        <v>850</v>
      </c>
      <c r="Z30" s="8">
        <f>IF(Movies[[#This Row],[unit3]]="Billions",Movies[[#This Row],[revenue3]]*1000,Movies[[#This Row],[revenue3]])</f>
        <v>8540</v>
      </c>
      <c r="AA30" s="8">
        <f>IF(Movies[[#This Row],[currency2]]="INR",Movies[[#This Row],[budget(mln)]]/92,Movies[[#This Row],[budget(mln)]])</f>
        <v>9.2391304347826093</v>
      </c>
      <c r="AB30" s="8">
        <f>IF(Movies[[#This Row],[currency2]]="INR",Movies[[#This Row],[revenue(mln)]]/92,Movies[[#This Row],[revenue(mln)]])</f>
        <v>92.826086956521735</v>
      </c>
    </row>
    <row r="31" spans="1:28" hidden="1" x14ac:dyDescent="0.35">
      <c r="A31" s="3">
        <v>131</v>
      </c>
      <c r="B31" t="s">
        <v>135</v>
      </c>
      <c r="D31">
        <v>2018</v>
      </c>
      <c r="E31" t="s">
        <v>110</v>
      </c>
      <c r="F31" t="str">
        <f>TRIM(Movies[[#This Row],[studio]])</f>
        <v>Vinod Chopra Films</v>
      </c>
      <c r="G31" t="s">
        <v>7</v>
      </c>
      <c r="H31">
        <v>1</v>
      </c>
      <c r="I31">
        <f>INDEX(financials!B:B,MATCH(VALUE(LEFT(Movies[[#This Row],[movie_id]],3)),financials!A:A,0))</f>
        <v>1</v>
      </c>
      <c r="J31" t="e">
        <f>INDEX(financials!B:B,MATCH(Movies[movie_id],financials!B:B,0))</f>
        <v>#N/A</v>
      </c>
      <c r="K31" s="5">
        <f>INDEX(financials!B:B,MATCH(Movies[[#This Row],[movie_id]],financials!A:A,0))</f>
        <v>1</v>
      </c>
      <c r="L31" s="5">
        <f>INDEX(financials!C:C,MATCH(Movies[[#This Row],[movie_id]],financials!A:A,0))</f>
        <v>5.9</v>
      </c>
      <c r="M31" s="5" t="str">
        <f>INDEX(financials!D:D,MATCH(Movies[[#This Row],[movie_id]],financials!A:A,0))</f>
        <v>Billions</v>
      </c>
      <c r="N31" s="5" t="str">
        <f>INDEX(financials!E:E,MATCH(Movies[[#This Row],[movie_id]],financials!A:A,0))</f>
        <v>INR</v>
      </c>
      <c r="O31" s="5"/>
      <c r="P31" s="5">
        <f>INDEX(Financials[],MATCH(Movies[[#This Row],[movie_id]:[movie_id]],Financials[[movie_id]:[movie_id]],0),MATCH("budget",Financials[#Headers],0))</f>
        <v>1</v>
      </c>
      <c r="Q31" s="5">
        <f>INDEX(Financials[],MATCH(Movies[[#This Row],[movie_id]:[movie_id]],Financials[[movie_id]:[movie_id]],0),MATCH("revenue",Financials[#Headers],0))</f>
        <v>5.9</v>
      </c>
      <c r="R31" s="5" t="str">
        <f>INDEX(Financials[],MATCH(Movies[[#This Row],[movie_id]:[movie_id]],Financials[[movie_id]:[movie_id]],0),MATCH("unit",Financials[#Headers],0))</f>
        <v>Billions</v>
      </c>
      <c r="S31" s="5" t="str">
        <f>INDEX(Financials[],MATCH(Movies[[#This Row],[movie_id]:[movie_id]],Financials[[movie_id]:[movie_id]],0),MATCH("currency",Financials[#Headers],0))</f>
        <v>INR</v>
      </c>
      <c r="T31" s="5"/>
      <c r="U31" s="5" t="e">
        <f>INDEX(financials!A:D,MATCH(Movies[[#This Row],[movie_id]],financials!A:A,0), MATCH("revenue",financials!A:D,0))</f>
        <v>#N/A</v>
      </c>
      <c r="V31" s="5">
        <f>INDEX(financials!$A:$D,MATCH(Movies[[#This Row],[movie_id]],financials!$A:$A,0), MATCH("budget",financials!$1:$1,0))</f>
        <v>1</v>
      </c>
      <c r="W31" s="5" t="str">
        <f>INDEX(financials!$A:$D,MATCH(Movies[[#This Row],[movie_id]],financials!$A:$A,0), MATCH("unit",financials!$1:$1,0))</f>
        <v>Billions</v>
      </c>
      <c r="X31" s="5" t="e">
        <f>INDEX(financials!$A:$D,MATCH(Movies[[#This Row],[movie_id]],financials!$A:$A,0), MATCH("currency",financials!$1:$1,0))</f>
        <v>#REF!</v>
      </c>
      <c r="Y31" s="5">
        <f>IF(Movies[[#This Row],[unit3]]="Billions",Movies[[#This Row],[budget5]]*1000,Movies[[#This Row],[budget5]])</f>
        <v>1000</v>
      </c>
      <c r="Z31" s="5" t="e">
        <f>IF(Movies[[#This Row],[unit3]]="Billions",Movies[[#This Row],[revenue3]]*1000,Movies[[#This Row],[revenue3]])</f>
        <v>#N/A</v>
      </c>
      <c r="AA31" s="5">
        <f>IF(Movies[[#This Row],[currency2]]="INR",Movies[[#This Row],[budget(mln)]]/92,Movies[[#This Row],[budget(mln)]])</f>
        <v>10.869565217391305</v>
      </c>
      <c r="AB31" s="5" t="e">
        <f>IF(Movies[[#This Row],[currency2]]="INR",Movies[[#This Row],[revenue(mln)]]/92,Movies[[#This Row],[revenue(mln)]])</f>
        <v>#N/A</v>
      </c>
    </row>
    <row r="32" spans="1:28" x14ac:dyDescent="0.35">
      <c r="A32" s="3">
        <v>132</v>
      </c>
      <c r="B32" t="s">
        <v>154</v>
      </c>
      <c r="C32" t="s">
        <v>155</v>
      </c>
      <c r="D32">
        <v>2021</v>
      </c>
      <c r="E32">
        <v>7.6</v>
      </c>
      <c r="F32" t="str">
        <f>TRIM(Movies[[#This Row],[studio]])</f>
        <v>Mythri Movie Makers</v>
      </c>
      <c r="G32" t="s">
        <v>19</v>
      </c>
      <c r="H32">
        <v>2</v>
      </c>
      <c r="I32">
        <f>INDEX(financials!B:B,MATCH(VALUE(LEFT(Movies[[#This Row],[movie_id]],3)),financials!A:A,0))</f>
        <v>2</v>
      </c>
      <c r="J32">
        <f>VLOOKUP(Movies[[#This Row],[movie_id]],financials!A:C,2,FALSE)</f>
        <v>2</v>
      </c>
      <c r="K32" s="5">
        <f>INDEX(financials!B:B,MATCH(Movies[[#This Row],[movie_id]],financials!A:A,0))</f>
        <v>2</v>
      </c>
      <c r="L32" s="5">
        <f>INDEX(financials!C:C,MATCH(Movies[[#This Row],[movie_id]],financials!A:A,0))</f>
        <v>3.6</v>
      </c>
      <c r="M32" s="5" t="str">
        <f>INDEX(financials!D:D,MATCH(Movies[[#This Row],[movie_id]],financials!A:A,0))</f>
        <v>Billions</v>
      </c>
      <c r="N32" s="5" t="str">
        <f>INDEX(financials!E:E,MATCH(Movies[[#This Row],[movie_id]],financials!A:A,0))</f>
        <v>INR</v>
      </c>
      <c r="O32" s="5"/>
      <c r="P32" s="5">
        <f>INDEX(Financials[],MATCH(Movies[[#This Row],[movie_id]:[movie_id]],Financials[[movie_id]:[movie_id]],0),MATCH("budget",Financials[#Headers],0))</f>
        <v>2</v>
      </c>
      <c r="Q32" s="5">
        <f>INDEX(Financials[],MATCH(Movies[[#This Row],[movie_id]:[movie_id]],Financials[[movie_id]:[movie_id]],0),MATCH("revenue",Financials[#Headers],0))</f>
        <v>3.6</v>
      </c>
      <c r="R32" s="5" t="str">
        <f>INDEX(Financials[],MATCH(Movies[[#This Row],[movie_id]:[movie_id]],Financials[[movie_id]:[movie_id]],0),MATCH("unit",Financials[#Headers],0))</f>
        <v>Billions</v>
      </c>
      <c r="S32" s="5" t="str">
        <f>INDEX(Financials[],MATCH(Movies[[#This Row],[movie_id]:[movie_id]],Financials[[movie_id]:[movie_id]],0),MATCH("currency",Financials[#Headers],0))</f>
        <v>INR</v>
      </c>
      <c r="T32" s="5"/>
      <c r="U32" s="5">
        <f>INDEX(financials!$A:$D,MATCH(Movies[[#This Row],[movie_id]],financials!$A:$A,0), MATCH("revenue",financials!$1:$1,0))</f>
        <v>3.6</v>
      </c>
      <c r="V32" s="5">
        <f>INDEX(financials!$A:$D,MATCH(Movies[[#This Row],[movie_id]],financials!$A:$A,0), MATCH("budget",financials!$1:$1,0))</f>
        <v>2</v>
      </c>
      <c r="W32" s="5" t="str">
        <f>INDEX(financials!$A:$D,MATCH(Movies[[#This Row],[movie_id]],financials!$A:$A,0), MATCH("unit",financials!$1:$1,0))</f>
        <v>Billions</v>
      </c>
      <c r="X32" s="5" t="e">
        <f>INDEX(financials!$A:$D,MATCH(Movies[[#This Row],[movie_id]],financials!$A:$A,0), MATCH("currency",financials!$1:$1,0))</f>
        <v>#REF!</v>
      </c>
      <c r="Y32" s="8">
        <f>IF(Movies[[#This Row],[unit3]]="Billions",Movies[[#This Row],[budget5]]*1000,Movies[[#This Row],[budget5]])</f>
        <v>2000</v>
      </c>
      <c r="Z32" s="8">
        <f>IF(Movies[[#This Row],[unit3]]="Billions",Movies[[#This Row],[revenue3]]*1000,Movies[[#This Row],[revenue3]])</f>
        <v>3600</v>
      </c>
      <c r="AA32" s="8">
        <f>IF(Movies[[#This Row],[currency2]]="INR",Movies[[#This Row],[budget(mln)]]/92,Movies[[#This Row],[budget(mln)]])</f>
        <v>21.739130434782609</v>
      </c>
      <c r="AB32" s="8">
        <f>IF(Movies[[#This Row],[currency2]]="INR",Movies[[#This Row],[revenue(mln)]]/92,Movies[[#This Row],[revenue(mln)]])</f>
        <v>39.130434782608695</v>
      </c>
    </row>
    <row r="33" spans="1:28" x14ac:dyDescent="0.35">
      <c r="A33" s="3">
        <v>133</v>
      </c>
      <c r="B33" t="s">
        <v>136</v>
      </c>
      <c r="D33">
        <v>2022</v>
      </c>
      <c r="E33">
        <v>8</v>
      </c>
      <c r="F33" t="str">
        <f>TRIM(Movies[[#This Row],[studio]])</f>
        <v>DVV Entertainment</v>
      </c>
      <c r="G33" t="s">
        <v>20</v>
      </c>
      <c r="H33">
        <v>2</v>
      </c>
      <c r="I33">
        <f>INDEX(financials!B:B,MATCH(VALUE(LEFT(Movies[[#This Row],[movie_id]],3)),financials!A:A,0))</f>
        <v>5.5</v>
      </c>
      <c r="J33">
        <f>VLOOKUP(Movies[[#This Row],[movie_id]],financials!A:C,2,FALSE)</f>
        <v>5.5</v>
      </c>
      <c r="K33" s="5">
        <f>INDEX(financials!B:B,MATCH(Movies[[#This Row],[movie_id]],financials!A:A,0))</f>
        <v>5.5</v>
      </c>
      <c r="L33" s="5">
        <f>INDEX(financials!C:C,MATCH(Movies[[#This Row],[movie_id]],financials!A:A,0))</f>
        <v>12</v>
      </c>
      <c r="M33" s="5" t="str">
        <f>INDEX(financials!D:D,MATCH(Movies[[#This Row],[movie_id]],financials!A:A,0))</f>
        <v>Billions</v>
      </c>
      <c r="N33" s="5" t="str">
        <f>INDEX(financials!E:E,MATCH(Movies[[#This Row],[movie_id]],financials!A:A,0))</f>
        <v>INR</v>
      </c>
      <c r="O33" s="5"/>
      <c r="P33" s="5">
        <f>INDEX(Financials[],MATCH(Movies[[#This Row],[movie_id]:[movie_id]],Financials[[movie_id]:[movie_id]],0),MATCH("budget",Financials[#Headers],0))</f>
        <v>5.5</v>
      </c>
      <c r="Q33" s="5">
        <f>INDEX(Financials[],MATCH(Movies[[#This Row],[movie_id]:[movie_id]],Financials[[movie_id]:[movie_id]],0),MATCH("revenue",Financials[#Headers],0))</f>
        <v>12</v>
      </c>
      <c r="R33" s="5" t="str">
        <f>INDEX(Financials[],MATCH(Movies[[#This Row],[movie_id]:[movie_id]],Financials[[movie_id]:[movie_id]],0),MATCH("unit",Financials[#Headers],0))</f>
        <v>Billions</v>
      </c>
      <c r="S33" s="5" t="str">
        <f>INDEX(Financials[],MATCH(Movies[[#This Row],[movie_id]:[movie_id]],Financials[[movie_id]:[movie_id]],0),MATCH("currency",Financials[#Headers],0))</f>
        <v>INR</v>
      </c>
      <c r="T33" s="5"/>
      <c r="U33" s="5">
        <f>INDEX(financials!$A:$D,MATCH(Movies[[#This Row],[movie_id]],financials!$A:$A,0), MATCH("revenue",financials!$1:$1,0))</f>
        <v>12</v>
      </c>
      <c r="V33" s="5">
        <f>INDEX(financials!$A:$D,MATCH(Movies[[#This Row],[movie_id]],financials!$A:$A,0), MATCH("budget",financials!$1:$1,0))</f>
        <v>5.5</v>
      </c>
      <c r="W33" s="5" t="str">
        <f>INDEX(financials!$A:$D,MATCH(Movies[[#This Row],[movie_id]],financials!$A:$A,0), MATCH("unit",financials!$1:$1,0))</f>
        <v>Billions</v>
      </c>
      <c r="X33" s="5" t="e">
        <f>INDEX(financials!$A:$D,MATCH(Movies[[#This Row],[movie_id]],financials!$A:$A,0), MATCH("currency",financials!$1:$1,0))</f>
        <v>#REF!</v>
      </c>
      <c r="Y33" s="8">
        <f>IF(Movies[[#This Row],[unit3]]="Billions",Movies[[#This Row],[budget5]]*1000,Movies[[#This Row],[budget5]])</f>
        <v>5500</v>
      </c>
      <c r="Z33" s="8">
        <f>IF(Movies[[#This Row],[unit3]]="Billions",Movies[[#This Row],[revenue3]]*1000,Movies[[#This Row],[revenue3]])</f>
        <v>12000</v>
      </c>
      <c r="AA33" s="8">
        <f>IF(Movies[[#This Row],[currency2]]="INR",Movies[[#This Row],[budget(mln)]]/92,Movies[[#This Row],[budget(mln)]])</f>
        <v>59.782608695652172</v>
      </c>
      <c r="AB33" s="8">
        <f>IF(Movies[[#This Row],[currency2]]="INR",Movies[[#This Row],[revenue(mln)]]/92,Movies[[#This Row],[revenue(mln)]])</f>
        <v>130.43478260869566</v>
      </c>
    </row>
    <row r="34" spans="1:28" x14ac:dyDescent="0.35">
      <c r="A34" s="3">
        <v>134</v>
      </c>
      <c r="B34" t="s">
        <v>156</v>
      </c>
      <c r="C34" t="s">
        <v>157</v>
      </c>
      <c r="D34">
        <v>2015</v>
      </c>
      <c r="E34">
        <v>8</v>
      </c>
      <c r="F34" t="str">
        <f>TRIM(Movies[[#This Row],[studio]])</f>
        <v>Arka Media Works</v>
      </c>
      <c r="G34" t="s">
        <v>21</v>
      </c>
      <c r="H34">
        <v>2</v>
      </c>
      <c r="I34">
        <f>INDEX(financials!B:B,MATCH(VALUE(LEFT(Movies[[#This Row],[movie_id]],3)),financials!A:A,0))</f>
        <v>1.8</v>
      </c>
      <c r="J34">
        <f>VLOOKUP(Movies[[#This Row],[movie_id]],financials!A:C,2,FALSE)</f>
        <v>1.8</v>
      </c>
      <c r="K34" s="5">
        <f>INDEX(financials!B:B,MATCH(Movies[[#This Row],[movie_id]],financials!A:A,0))</f>
        <v>1.8</v>
      </c>
      <c r="L34" s="5">
        <f>INDEX(financials!C:C,MATCH(Movies[[#This Row],[movie_id]],financials!A:A,0))</f>
        <v>6.5</v>
      </c>
      <c r="M34" s="5" t="str">
        <f>INDEX(financials!D:D,MATCH(Movies[[#This Row],[movie_id]],financials!A:A,0))</f>
        <v>Billions</v>
      </c>
      <c r="N34" s="5" t="str">
        <f>INDEX(financials!E:E,MATCH(Movies[[#This Row],[movie_id]],financials!A:A,0))</f>
        <v>INR</v>
      </c>
      <c r="O34" s="5"/>
      <c r="P34" s="5">
        <f>INDEX(Financials[],MATCH(Movies[[#This Row],[movie_id]:[movie_id]],Financials[[movie_id]:[movie_id]],0),MATCH("budget",Financials[#Headers],0))</f>
        <v>1.8</v>
      </c>
      <c r="Q34" s="5">
        <f>INDEX(Financials[],MATCH(Movies[[#This Row],[movie_id]:[movie_id]],Financials[[movie_id]:[movie_id]],0),MATCH("revenue",Financials[#Headers],0))</f>
        <v>6.5</v>
      </c>
      <c r="R34" s="5" t="str">
        <f>INDEX(Financials[],MATCH(Movies[[#This Row],[movie_id]:[movie_id]],Financials[[movie_id]:[movie_id]],0),MATCH("unit",Financials[#Headers],0))</f>
        <v>Billions</v>
      </c>
      <c r="S34" s="5" t="str">
        <f>INDEX(Financials[],MATCH(Movies[[#This Row],[movie_id]:[movie_id]],Financials[[movie_id]:[movie_id]],0),MATCH("currency",Financials[#Headers],0))</f>
        <v>INR</v>
      </c>
      <c r="T34" s="5"/>
      <c r="U34" s="5">
        <f>INDEX(financials!$A:$D,MATCH(Movies[[#This Row],[movie_id]],financials!$A:$A,0), MATCH("revenue",financials!$1:$1,0))</f>
        <v>6.5</v>
      </c>
      <c r="V34" s="5">
        <f>INDEX(financials!$A:$D,MATCH(Movies[[#This Row],[movie_id]],financials!$A:$A,0), MATCH("budget",financials!$1:$1,0))</f>
        <v>1.8</v>
      </c>
      <c r="W34" s="5" t="str">
        <f>INDEX(financials!$A:$D,MATCH(Movies[[#This Row],[movie_id]],financials!$A:$A,0), MATCH("unit",financials!$1:$1,0))</f>
        <v>Billions</v>
      </c>
      <c r="X34" s="5" t="e">
        <f>INDEX(financials!$A:$D,MATCH(Movies[[#This Row],[movie_id]],financials!$A:$A,0), MATCH("currency",financials!$1:$1,0))</f>
        <v>#REF!</v>
      </c>
      <c r="Y34" s="8">
        <f>IF(Movies[[#This Row],[unit3]]="Billions",Movies[[#This Row],[budget5]]*1000,Movies[[#This Row],[budget5]])</f>
        <v>1800</v>
      </c>
      <c r="Z34" s="8">
        <f>IF(Movies[[#This Row],[unit3]]="Billions",Movies[[#This Row],[revenue3]]*1000,Movies[[#This Row],[revenue3]])</f>
        <v>6500</v>
      </c>
      <c r="AA34" s="8">
        <f>IF(Movies[[#This Row],[currency2]]="INR",Movies[[#This Row],[budget(mln)]]/92,Movies[[#This Row],[budget(mln)]])</f>
        <v>19.565217391304348</v>
      </c>
      <c r="AB34" s="8">
        <f>IF(Movies[[#This Row],[currency2]]="INR",Movies[[#This Row],[revenue(mln)]]/92,Movies[[#This Row],[revenue(mln)]])</f>
        <v>70.652173913043484</v>
      </c>
    </row>
    <row r="35" spans="1:28" x14ac:dyDescent="0.35">
      <c r="A35" s="3">
        <v>135</v>
      </c>
      <c r="B35" t="s">
        <v>137</v>
      </c>
      <c r="D35">
        <v>2022</v>
      </c>
      <c r="E35">
        <v>8.3000000000000007</v>
      </c>
      <c r="F35" t="str">
        <f>TRIM(Movies[[#This Row],[studio]])</f>
        <v>Zee Studios</v>
      </c>
      <c r="G35" t="s">
        <v>22</v>
      </c>
      <c r="H35">
        <v>1</v>
      </c>
      <c r="I35">
        <f>INDEX(financials!B:B,MATCH(VALUE(LEFT(Movies[[#This Row],[movie_id]],3)),financials!A:A,0))</f>
        <v>250</v>
      </c>
      <c r="J35">
        <f>VLOOKUP(Movies[[#This Row],[movie_id]],financials!A:C,2,FALSE)</f>
        <v>250</v>
      </c>
      <c r="K35" s="5">
        <f>INDEX(financials!B:B,MATCH(Movies[[#This Row],[movie_id]],financials!A:A,0))</f>
        <v>250</v>
      </c>
      <c r="L35" s="5">
        <f>INDEX(financials!C:C,MATCH(Movies[[#This Row],[movie_id]],financials!A:A,0))</f>
        <v>3409</v>
      </c>
      <c r="M35" s="5" t="str">
        <f>INDEX(financials!D:D,MATCH(Movies[[#This Row],[movie_id]],financials!A:A,0))</f>
        <v>Millions</v>
      </c>
      <c r="N35" s="5" t="str">
        <f>INDEX(financials!E:E,MATCH(Movies[[#This Row],[movie_id]],financials!A:A,0))</f>
        <v>INR</v>
      </c>
      <c r="O35" s="5"/>
      <c r="P35" s="5">
        <f>INDEX(Financials[],MATCH(Movies[[#This Row],[movie_id]:[movie_id]],Financials[[movie_id]:[movie_id]],0),MATCH("budget",Financials[#Headers],0))</f>
        <v>250</v>
      </c>
      <c r="Q35" s="5">
        <f>INDEX(Financials[],MATCH(Movies[[#This Row],[movie_id]:[movie_id]],Financials[[movie_id]:[movie_id]],0),MATCH("revenue",Financials[#Headers],0))</f>
        <v>3409</v>
      </c>
      <c r="R35" s="5" t="str">
        <f>INDEX(Financials[],MATCH(Movies[[#This Row],[movie_id]:[movie_id]],Financials[[movie_id]:[movie_id]],0),MATCH("unit",Financials[#Headers],0))</f>
        <v>Millions</v>
      </c>
      <c r="S35" s="5" t="str">
        <f>INDEX(Financials[],MATCH(Movies[[#This Row],[movie_id]:[movie_id]],Financials[[movie_id]:[movie_id]],0),MATCH("currency",Financials[#Headers],0))</f>
        <v>INR</v>
      </c>
      <c r="T35" s="5"/>
      <c r="U35" s="5">
        <f>INDEX(financials!$A:$D,MATCH(Movies[[#This Row],[movie_id]],financials!$A:$A,0), MATCH("revenue",financials!$1:$1,0))</f>
        <v>3409</v>
      </c>
      <c r="V35" s="5">
        <f>INDEX(financials!$A:$D,MATCH(Movies[[#This Row],[movie_id]],financials!$A:$A,0), MATCH("budget",financials!$1:$1,0))</f>
        <v>250</v>
      </c>
      <c r="W35" s="5" t="str">
        <f>INDEX(financials!$A:$D,MATCH(Movies[[#This Row],[movie_id]],financials!$A:$A,0), MATCH("unit",financials!$1:$1,0))</f>
        <v>Millions</v>
      </c>
      <c r="X35" s="5" t="e">
        <f>INDEX(financials!$A:$D,MATCH(Movies[[#This Row],[movie_id]],financials!$A:$A,0), MATCH("currency",financials!$1:$1,0))</f>
        <v>#REF!</v>
      </c>
      <c r="Y35" s="8">
        <f>IF(Movies[[#This Row],[unit3]]="Billions",Movies[[#This Row],[budget5]]*1000,Movies[[#This Row],[budget5]])</f>
        <v>250</v>
      </c>
      <c r="Z35" s="8">
        <f>IF(Movies[[#This Row],[unit3]]="Billions",Movies[[#This Row],[revenue3]]*1000,Movies[[#This Row],[revenue3]])</f>
        <v>3409</v>
      </c>
      <c r="AA35" s="8">
        <f>IF(Movies[[#This Row],[currency2]]="INR",Movies[[#This Row],[budget(mln)]]/92,Movies[[#This Row],[budget(mln)]])</f>
        <v>2.7173913043478262</v>
      </c>
      <c r="AB35" s="8">
        <f>IF(Movies[[#This Row],[currency2]]="INR",Movies[[#This Row],[revenue(mln)]]/92,Movies[[#This Row],[revenue(mln)]])</f>
        <v>37.054347826086953</v>
      </c>
    </row>
    <row r="36" spans="1:28" x14ac:dyDescent="0.35">
      <c r="A36" s="3">
        <v>136</v>
      </c>
      <c r="B36" t="s">
        <v>138</v>
      </c>
      <c r="D36">
        <v>2015</v>
      </c>
      <c r="E36">
        <v>8.1</v>
      </c>
      <c r="F36" t="str">
        <f>TRIM(Movies[[#This Row],[studio]])</f>
        <v>Salman Khan Films</v>
      </c>
      <c r="G36" t="s">
        <v>23</v>
      </c>
      <c r="H36">
        <v>1</v>
      </c>
      <c r="I36">
        <f>INDEX(financials!B:B,MATCH(VALUE(LEFT(Movies[[#This Row],[movie_id]],3)),financials!A:A,0))</f>
        <v>900</v>
      </c>
      <c r="J36">
        <f>VLOOKUP(Movies[[#This Row],[movie_id]],financials!A:C,2,FALSE)</f>
        <v>900</v>
      </c>
      <c r="K36" s="5">
        <f>INDEX(financials!B:B,MATCH(Movies[[#This Row],[movie_id]],financials!A:A,0))</f>
        <v>900</v>
      </c>
      <c r="L36" s="5">
        <f>INDEX(financials!C:C,MATCH(Movies[[#This Row],[movie_id]],financials!A:A,0))</f>
        <v>11690</v>
      </c>
      <c r="M36" s="5" t="str">
        <f>INDEX(financials!D:D,MATCH(Movies[[#This Row],[movie_id]],financials!A:A,0))</f>
        <v>Millions</v>
      </c>
      <c r="N36" s="5" t="str">
        <f>INDEX(financials!E:E,MATCH(Movies[[#This Row],[movie_id]],financials!A:A,0))</f>
        <v>INR</v>
      </c>
      <c r="O36" s="5"/>
      <c r="P36" s="5">
        <f>INDEX(Financials[],MATCH(Movies[[#This Row],[movie_id]:[movie_id]],Financials[[movie_id]:[movie_id]],0),MATCH("budget",Financials[#Headers],0))</f>
        <v>900</v>
      </c>
      <c r="Q36" s="5">
        <f>INDEX(Financials[],MATCH(Movies[[#This Row],[movie_id]:[movie_id]],Financials[[movie_id]:[movie_id]],0),MATCH("revenue",Financials[#Headers],0))</f>
        <v>11690</v>
      </c>
      <c r="R36" s="5" t="str">
        <f>INDEX(Financials[],MATCH(Movies[[#This Row],[movie_id]:[movie_id]],Financials[[movie_id]:[movie_id]],0),MATCH("unit",Financials[#Headers],0))</f>
        <v>Millions</v>
      </c>
      <c r="S36" s="5" t="str">
        <f>INDEX(Financials[],MATCH(Movies[[#This Row],[movie_id]:[movie_id]],Financials[[movie_id]:[movie_id]],0),MATCH("currency",Financials[#Headers],0))</f>
        <v>INR</v>
      </c>
      <c r="T36" s="5"/>
      <c r="U36" s="5">
        <f>INDEX(financials!$A:$D,MATCH(Movies[[#This Row],[movie_id]],financials!$A:$A,0), MATCH("revenue",financials!$1:$1,0))</f>
        <v>11690</v>
      </c>
      <c r="V36" s="5">
        <f>INDEX(financials!$A:$D,MATCH(Movies[[#This Row],[movie_id]],financials!$A:$A,0), MATCH("budget",financials!$1:$1,0))</f>
        <v>900</v>
      </c>
      <c r="W36" s="5" t="str">
        <f>INDEX(financials!$A:$D,MATCH(Movies[[#This Row],[movie_id]],financials!$A:$A,0), MATCH("unit",financials!$1:$1,0))</f>
        <v>Millions</v>
      </c>
      <c r="X36" s="5" t="e">
        <f>INDEX(financials!$A:$D,MATCH(Movies[[#This Row],[movie_id]],financials!$A:$A,0), MATCH("currency",financials!$1:$1,0))</f>
        <v>#REF!</v>
      </c>
      <c r="Y36" s="8">
        <f>IF(Movies[[#This Row],[unit3]]="Billions",Movies[[#This Row],[budget5]]*1000,Movies[[#This Row],[budget5]])</f>
        <v>900</v>
      </c>
      <c r="Z36" s="8">
        <f>IF(Movies[[#This Row],[unit3]]="Billions",Movies[[#This Row],[revenue3]]*1000,Movies[[#This Row],[revenue3]])</f>
        <v>11690</v>
      </c>
      <c r="AA36" s="8">
        <f>IF(Movies[[#This Row],[currency2]]="INR",Movies[[#This Row],[budget(mln)]]/92,Movies[[#This Row],[budget(mln)]])</f>
        <v>9.7826086956521738</v>
      </c>
      <c r="AB36" s="8">
        <f>IF(Movies[[#This Row],[currency2]]="INR",Movies[[#This Row],[revenue(mln)]]/92,Movies[[#This Row],[revenue(mln)]])</f>
        <v>127.06521739130434</v>
      </c>
    </row>
    <row r="37" spans="1:28" x14ac:dyDescent="0.35">
      <c r="A37" s="3">
        <v>137</v>
      </c>
      <c r="B37" t="s">
        <v>158</v>
      </c>
      <c r="C37" t="s">
        <v>159</v>
      </c>
      <c r="D37">
        <v>2011</v>
      </c>
      <c r="E37">
        <v>6.9</v>
      </c>
      <c r="F37" t="str">
        <f>TRIM(Movies[[#This Row],[studio]])</f>
        <v>Marvel Studios</v>
      </c>
      <c r="G37" t="s">
        <v>5</v>
      </c>
      <c r="H37">
        <v>5</v>
      </c>
      <c r="I37">
        <f>INDEX(financials!B:B,MATCH(VALUE(LEFT(Movies[[#This Row],[movie_id]],3)),financials!A:A,0))</f>
        <v>216.7</v>
      </c>
      <c r="J37">
        <f>VLOOKUP(Movies[[#This Row],[movie_id]],financials!A:C,2,FALSE)</f>
        <v>216.7</v>
      </c>
      <c r="K37" s="5">
        <f>INDEX(financials!B:B,MATCH(Movies[[#This Row],[movie_id]],financials!A:A,0))</f>
        <v>216.7</v>
      </c>
      <c r="L37" s="5">
        <f>INDEX(financials!C:C,MATCH(Movies[[#This Row],[movie_id]],financials!A:A,0))</f>
        <v>370.6</v>
      </c>
      <c r="M37" s="5" t="str">
        <f>INDEX(financials!D:D,MATCH(Movies[[#This Row],[movie_id]],financials!A:A,0))</f>
        <v>Millions</v>
      </c>
      <c r="N37" s="5" t="str">
        <f>INDEX(financials!E:E,MATCH(Movies[[#This Row],[movie_id]],financials!A:A,0))</f>
        <v>USD</v>
      </c>
      <c r="O37" s="5"/>
      <c r="P37" s="5">
        <f>INDEX(Financials[],MATCH(Movies[[#This Row],[movie_id]:[movie_id]],Financials[[movie_id]:[movie_id]],0),MATCH("budget",Financials[#Headers],0))</f>
        <v>216.7</v>
      </c>
      <c r="Q37" s="5">
        <f>INDEX(Financials[],MATCH(Movies[[#This Row],[movie_id]:[movie_id]],Financials[[movie_id]:[movie_id]],0),MATCH("revenue",Financials[#Headers],0))</f>
        <v>370.6</v>
      </c>
      <c r="R37" s="5" t="str">
        <f>INDEX(Financials[],MATCH(Movies[[#This Row],[movie_id]:[movie_id]],Financials[[movie_id]:[movie_id]],0),MATCH("unit",Financials[#Headers],0))</f>
        <v>Millions</v>
      </c>
      <c r="S37" s="5" t="str">
        <f>INDEX(Financials[],MATCH(Movies[[#This Row],[movie_id]:[movie_id]],Financials[[movie_id]:[movie_id]],0),MATCH("currency",Financials[#Headers],0))</f>
        <v>USD</v>
      </c>
      <c r="T37" s="5"/>
      <c r="U37" s="5">
        <f>INDEX(financials!$A:$D,MATCH(Movies[[#This Row],[movie_id]],financials!$A:$A,0), MATCH("revenue",financials!$1:$1,0))</f>
        <v>370.6</v>
      </c>
      <c r="V37" s="5">
        <f>INDEX(financials!$A:$D,MATCH(Movies[[#This Row],[movie_id]],financials!$A:$A,0), MATCH("budget",financials!$1:$1,0))</f>
        <v>216.7</v>
      </c>
      <c r="W37" s="5" t="str">
        <f>INDEX(financials!$A:$D,MATCH(Movies[[#This Row],[movie_id]],financials!$A:$A,0), MATCH("unit",financials!$1:$1,0))</f>
        <v>Millions</v>
      </c>
      <c r="X37" s="5" t="e">
        <f>INDEX(financials!$A:$D,MATCH(Movies[[#This Row],[movie_id]],financials!$A:$A,0), MATCH("currency",financials!$1:$1,0))</f>
        <v>#REF!</v>
      </c>
      <c r="Y37" s="8">
        <f>IF(Movies[[#This Row],[unit3]]="Billions",Movies[[#This Row],[budget5]]*1000,Movies[[#This Row],[budget5]])</f>
        <v>216.7</v>
      </c>
      <c r="Z37" s="8">
        <f>IF(Movies[[#This Row],[unit3]]="Billions",Movies[[#This Row],[revenue3]]*1000,Movies[[#This Row],[revenue3]])</f>
        <v>370.6</v>
      </c>
      <c r="AA37" s="8">
        <f>IF(Movies[[#This Row],[currency2]]="INR",Movies[[#This Row],[budget(mln)]]/92,Movies[[#This Row],[budget(mln)]])</f>
        <v>216.7</v>
      </c>
      <c r="AB37" s="8">
        <f>IF(Movies[[#This Row],[currency2]]="INR",Movies[[#This Row],[revenue(mln)]]/92,Movies[[#This Row],[revenue(mln)]])</f>
        <v>370.6</v>
      </c>
    </row>
    <row r="38" spans="1:28" x14ac:dyDescent="0.35">
      <c r="A38" s="3">
        <v>138</v>
      </c>
      <c r="B38" t="s">
        <v>158</v>
      </c>
      <c r="C38" t="s">
        <v>160</v>
      </c>
      <c r="D38">
        <v>2014</v>
      </c>
      <c r="E38">
        <v>7.8</v>
      </c>
      <c r="F38" t="str">
        <f>TRIM(Movies[[#This Row],[studio]])</f>
        <v>Marvel Studios</v>
      </c>
      <c r="G38" t="s">
        <v>5</v>
      </c>
      <c r="H38">
        <v>5</v>
      </c>
      <c r="I38">
        <f>INDEX(financials!B:B,MATCH(VALUE(LEFT(Movies[[#This Row],[movie_id]],3)),financials!A:A,0))</f>
        <v>177</v>
      </c>
      <c r="J38">
        <f>VLOOKUP(Movies[[#This Row],[movie_id]],financials!A:C,2,FALSE)</f>
        <v>177</v>
      </c>
      <c r="K38" s="5">
        <f>INDEX(financials!B:B,MATCH(Movies[[#This Row],[movie_id]],financials!A:A,0))</f>
        <v>177</v>
      </c>
      <c r="L38" s="5">
        <f>INDEX(financials!C:C,MATCH(Movies[[#This Row],[movie_id]],financials!A:A,0))</f>
        <v>714.4</v>
      </c>
      <c r="M38" s="5" t="str">
        <f>INDEX(financials!D:D,MATCH(Movies[[#This Row],[movie_id]],financials!A:A,0))</f>
        <v>Millions</v>
      </c>
      <c r="N38" s="5" t="str">
        <f>INDEX(financials!E:E,MATCH(Movies[[#This Row],[movie_id]],financials!A:A,0))</f>
        <v>USD</v>
      </c>
      <c r="O38" s="5"/>
      <c r="P38" s="5">
        <f>INDEX(Financials[],MATCH(Movies[[#This Row],[movie_id]:[movie_id]],Financials[[movie_id]:[movie_id]],0),MATCH("budget",Financials[#Headers],0))</f>
        <v>177</v>
      </c>
      <c r="Q38" s="5">
        <f>INDEX(Financials[],MATCH(Movies[[#This Row],[movie_id]:[movie_id]],Financials[[movie_id]:[movie_id]],0),MATCH("revenue",Financials[#Headers],0))</f>
        <v>714.4</v>
      </c>
      <c r="R38" s="5" t="str">
        <f>INDEX(Financials[],MATCH(Movies[[#This Row],[movie_id]:[movie_id]],Financials[[movie_id]:[movie_id]],0),MATCH("unit",Financials[#Headers],0))</f>
        <v>Millions</v>
      </c>
      <c r="S38" s="5" t="str">
        <f>INDEX(Financials[],MATCH(Movies[[#This Row],[movie_id]:[movie_id]],Financials[[movie_id]:[movie_id]],0),MATCH("currency",Financials[#Headers],0))</f>
        <v>USD</v>
      </c>
      <c r="T38" s="5"/>
      <c r="U38" s="5">
        <f>INDEX(financials!$A:$D,MATCH(Movies[[#This Row],[movie_id]],financials!$A:$A,0), MATCH("revenue",financials!$1:$1,0))</f>
        <v>714.4</v>
      </c>
      <c r="V38" s="5">
        <f>INDEX(financials!$A:$D,MATCH(Movies[[#This Row],[movie_id]],financials!$A:$A,0), MATCH("budget",financials!$1:$1,0))</f>
        <v>177</v>
      </c>
      <c r="W38" s="5" t="str">
        <f>INDEX(financials!$A:$D,MATCH(Movies[[#This Row],[movie_id]],financials!$A:$A,0), MATCH("unit",financials!$1:$1,0))</f>
        <v>Millions</v>
      </c>
      <c r="X38" s="5" t="e">
        <f>INDEX(financials!$A:$D,MATCH(Movies[[#This Row],[movie_id]],financials!$A:$A,0), MATCH("currency",financials!$1:$1,0))</f>
        <v>#REF!</v>
      </c>
      <c r="Y38" s="8">
        <f>IF(Movies[[#This Row],[unit3]]="Billions",Movies[[#This Row],[budget5]]*1000,Movies[[#This Row],[budget5]])</f>
        <v>177</v>
      </c>
      <c r="Z38" s="8">
        <f>IF(Movies[[#This Row],[unit3]]="Billions",Movies[[#This Row],[revenue3]]*1000,Movies[[#This Row],[revenue3]])</f>
        <v>714.4</v>
      </c>
      <c r="AA38" s="8">
        <f>IF(Movies[[#This Row],[currency2]]="INR",Movies[[#This Row],[budget(mln)]]/92,Movies[[#This Row],[budget(mln)]])</f>
        <v>177</v>
      </c>
      <c r="AB38" s="8">
        <f>IF(Movies[[#This Row],[currency2]]="INR",Movies[[#This Row],[revenue(mln)]]/92,Movies[[#This Row],[revenue(mln)]])</f>
        <v>714.4</v>
      </c>
    </row>
    <row r="39" spans="1:28" x14ac:dyDescent="0.35">
      <c r="A39" s="3">
        <v>139</v>
      </c>
      <c r="B39" t="s">
        <v>139</v>
      </c>
      <c r="D39">
        <v>2018</v>
      </c>
      <c r="E39">
        <v>1.9</v>
      </c>
      <c r="F39" t="str">
        <f>TRIM(Movies[[#This Row],[studio]])</f>
        <v>Salman Khan Films</v>
      </c>
      <c r="G39" t="s">
        <v>23</v>
      </c>
      <c r="H39">
        <v>1</v>
      </c>
      <c r="I39">
        <f>INDEX(financials!B:B,MATCH(VALUE(LEFT(Movies[[#This Row],[movie_id]],3)),financials!A:A,0))</f>
        <v>1.8</v>
      </c>
      <c r="J39">
        <f>VLOOKUP(Movies[[#This Row],[movie_id]],financials!A:C,2,FALSE)</f>
        <v>1.8</v>
      </c>
      <c r="K39" s="5">
        <f>INDEX(financials!B:B,MATCH(Movies[[#This Row],[movie_id]],financials!A:A,0))</f>
        <v>1.8</v>
      </c>
      <c r="L39" s="5">
        <f>INDEX(financials!C:C,MATCH(Movies[[#This Row],[movie_id]],financials!A:A,0))</f>
        <v>3.1</v>
      </c>
      <c r="M39" s="5" t="str">
        <f>INDEX(financials!D:D,MATCH(Movies[[#This Row],[movie_id]],financials!A:A,0))</f>
        <v>Billions</v>
      </c>
      <c r="N39" s="5" t="str">
        <f>INDEX(financials!E:E,MATCH(Movies[[#This Row],[movie_id]],financials!A:A,0))</f>
        <v>INR</v>
      </c>
      <c r="O39" s="5"/>
      <c r="P39" s="5">
        <f>INDEX(Financials[],MATCH(Movies[[#This Row],[movie_id]:[movie_id]],Financials[[movie_id]:[movie_id]],0),MATCH("budget",Financials[#Headers],0))</f>
        <v>1.8</v>
      </c>
      <c r="Q39" s="5">
        <f>INDEX(Financials[],MATCH(Movies[[#This Row],[movie_id]:[movie_id]],Financials[[movie_id]:[movie_id]],0),MATCH("revenue",Financials[#Headers],0))</f>
        <v>3.1</v>
      </c>
      <c r="R39" s="5" t="str">
        <f>INDEX(Financials[],MATCH(Movies[[#This Row],[movie_id]:[movie_id]],Financials[[movie_id]:[movie_id]],0),MATCH("unit",Financials[#Headers],0))</f>
        <v>Billions</v>
      </c>
      <c r="S39" s="5" t="str">
        <f>INDEX(Financials[],MATCH(Movies[[#This Row],[movie_id]:[movie_id]],Financials[[movie_id]:[movie_id]],0),MATCH("currency",Financials[#Headers],0))</f>
        <v>INR</v>
      </c>
      <c r="T39" s="5"/>
      <c r="U39" s="5">
        <f>INDEX(financials!$A:$D,MATCH(Movies[[#This Row],[movie_id]],financials!$A:$A,0), MATCH("revenue",financials!$1:$1,0))</f>
        <v>3.1</v>
      </c>
      <c r="V39" s="5">
        <f>INDEX(financials!$A:$D,MATCH(Movies[[#This Row],[movie_id]],financials!$A:$A,0), MATCH("budget",financials!$1:$1,0))</f>
        <v>1.8</v>
      </c>
      <c r="W39" s="5" t="str">
        <f>INDEX(financials!$A:$D,MATCH(Movies[[#This Row],[movie_id]],financials!$A:$A,0), MATCH("unit",financials!$1:$1,0))</f>
        <v>Billions</v>
      </c>
      <c r="X39" s="5" t="e">
        <f>INDEX(financials!$A:$D,MATCH(Movies[[#This Row],[movie_id]],financials!$A:$A,0), MATCH("currency",financials!$1:$1,0))</f>
        <v>#REF!</v>
      </c>
      <c r="Y39" s="8">
        <f>IF(Movies[[#This Row],[unit3]]="Billions",Movies[[#This Row],[budget5]]*1000,Movies[[#This Row],[budget5]])</f>
        <v>1800</v>
      </c>
      <c r="Z39" s="8">
        <f>IF(Movies[[#This Row],[unit3]]="Billions",Movies[[#This Row],[revenue3]]*1000,Movies[[#This Row],[revenue3]])</f>
        <v>3100</v>
      </c>
      <c r="AA39" s="8">
        <f>IF(Movies[[#This Row],[currency2]]="INR",Movies[[#This Row],[budget(mln)]]/92,Movies[[#This Row],[budget(mln)]])</f>
        <v>19.565217391304348</v>
      </c>
      <c r="AB39" s="8">
        <f>IF(Movies[[#This Row],[currency2]]="INR",Movies[[#This Row],[revenue(mln)]]/92,Movies[[#This Row],[revenue(mln)]])</f>
        <v>33.695652173913047</v>
      </c>
    </row>
    <row r="40" spans="1:28" x14ac:dyDescent="0.35">
      <c r="A40" s="3">
        <v>140</v>
      </c>
      <c r="B40" t="s">
        <v>140</v>
      </c>
      <c r="D40">
        <v>2021</v>
      </c>
      <c r="E40">
        <v>8.4</v>
      </c>
      <c r="F40" t="str">
        <f>TRIM(Movies[[#This Row],[studio]])</f>
        <v>Dharma Productions</v>
      </c>
      <c r="G40" t="s">
        <v>8</v>
      </c>
      <c r="H40">
        <v>1</v>
      </c>
      <c r="I40">
        <f>INDEX(financials!B:B,MATCH(VALUE(LEFT(Movies[[#This Row],[movie_id]],3)),financials!A:A,0))</f>
        <v>500</v>
      </c>
      <c r="J40">
        <f>VLOOKUP(Movies[[#This Row],[movie_id]],financials!A:C,2,FALSE)</f>
        <v>500</v>
      </c>
      <c r="K40" s="5">
        <f>INDEX(financials!B:B,MATCH(Movies[[#This Row],[movie_id]],financials!A:A,0))</f>
        <v>500</v>
      </c>
      <c r="L40" s="5">
        <f>INDEX(financials!C:C,MATCH(Movies[[#This Row],[movie_id]],financials!A:A,0))</f>
        <v>950</v>
      </c>
      <c r="M40" s="5" t="str">
        <f>INDEX(financials!D:D,MATCH(Movies[[#This Row],[movie_id]],financials!A:A,0))</f>
        <v>Millions</v>
      </c>
      <c r="N40" s="5" t="str">
        <f>INDEX(financials!E:E,MATCH(Movies[[#This Row],[movie_id]],financials!A:A,0))</f>
        <v>INR</v>
      </c>
      <c r="O40" s="5"/>
      <c r="P40" s="5">
        <f>INDEX(Financials[],MATCH(Movies[[#This Row],[movie_id]:[movie_id]],Financials[[movie_id]:[movie_id]],0),MATCH("budget",Financials[#Headers],0))</f>
        <v>500</v>
      </c>
      <c r="Q40" s="5">
        <f>INDEX(Financials[],MATCH(Movies[[#This Row],[movie_id]:[movie_id]],Financials[[movie_id]:[movie_id]],0),MATCH("revenue",Financials[#Headers],0))</f>
        <v>950</v>
      </c>
      <c r="R40" s="5" t="str">
        <f>INDEX(Financials[],MATCH(Movies[[#This Row],[movie_id]:[movie_id]],Financials[[movie_id]:[movie_id]],0),MATCH("unit",Financials[#Headers],0))</f>
        <v>Millions</v>
      </c>
      <c r="S40" s="5" t="str">
        <f>INDEX(Financials[],MATCH(Movies[[#This Row],[movie_id]:[movie_id]],Financials[[movie_id]:[movie_id]],0),MATCH("currency",Financials[#Headers],0))</f>
        <v>INR</v>
      </c>
      <c r="T40" s="5"/>
      <c r="U40" s="5">
        <f>INDEX(financials!$A:$D,MATCH(Movies[[#This Row],[movie_id]],financials!$A:$A,0), MATCH("revenue",financials!$1:$1,0))</f>
        <v>950</v>
      </c>
      <c r="V40" s="5">
        <f>INDEX(financials!$A:$D,MATCH(Movies[[#This Row],[movie_id]],financials!$A:$A,0), MATCH("budget",financials!$1:$1,0))</f>
        <v>500</v>
      </c>
      <c r="W40" s="5" t="str">
        <f>INDEX(financials!$A:$D,MATCH(Movies[[#This Row],[movie_id]],financials!$A:$A,0), MATCH("unit",financials!$1:$1,0))</f>
        <v>Millions</v>
      </c>
      <c r="X40" s="5" t="e">
        <f>INDEX(financials!$A:$D,MATCH(Movies[[#This Row],[movie_id]],financials!$A:$A,0), MATCH("currency",financials!$1:$1,0))</f>
        <v>#REF!</v>
      </c>
      <c r="Y40" s="8">
        <f>IF(Movies[[#This Row],[unit3]]="Billions",Movies[[#This Row],[budget5]]*1000,Movies[[#This Row],[budget5]])</f>
        <v>500</v>
      </c>
      <c r="Z40" s="8">
        <f>IF(Movies[[#This Row],[unit3]]="Billions",Movies[[#This Row],[revenue3]]*1000,Movies[[#This Row],[revenue3]])</f>
        <v>950</v>
      </c>
      <c r="AA40" s="8">
        <f>IF(Movies[[#This Row],[currency2]]="INR",Movies[[#This Row],[budget(mln)]]/92,Movies[[#This Row],[budget(mln)]])</f>
        <v>5.4347826086956523</v>
      </c>
      <c r="AB40" s="8">
        <f>IF(Movies[[#This Row],[currency2]]="INR",Movies[[#This Row],[revenue(mln)]]/92,Movies[[#This Row],[revenue(mln)]])</f>
        <v>10.326086956521738</v>
      </c>
    </row>
    <row r="43" spans="1:28" x14ac:dyDescent="0.35">
      <c r="AA43" s="7" t="s">
        <v>181</v>
      </c>
      <c r="AB43" s="7" t="s">
        <v>182</v>
      </c>
    </row>
    <row r="44" spans="1:28" x14ac:dyDescent="0.35">
      <c r="AA44" s="3"/>
      <c r="AB44" s="3"/>
    </row>
    <row r="45" spans="1:28" x14ac:dyDescent="0.35">
      <c r="AA45" s="6">
        <f>SUMIF(Movies[budget(usd)],"&lt;&gt;#N/A")</f>
        <v>3537.58</v>
      </c>
      <c r="AB45" s="6">
        <f>SUMIF(Movies[revenue(usd)],"&lt;&gt;#N/A")</f>
        <v>20326.315217391308</v>
      </c>
    </row>
  </sheetData>
  <dataConsolidate/>
  <phoneticPr fontId="4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H43"/>
  <sheetViews>
    <sheetView topLeftCell="A28" zoomScale="117" zoomScaleNormal="160" workbookViewId="0">
      <selection activeCell="C44" sqref="C44"/>
    </sheetView>
  </sheetViews>
  <sheetFormatPr defaultRowHeight="14.5" x14ac:dyDescent="0.35"/>
  <cols>
    <col min="1" max="1" width="9.81640625" customWidth="1"/>
    <col min="3" max="3" width="9.453125" customWidth="1"/>
  </cols>
  <sheetData>
    <row r="1" spans="1:8" x14ac:dyDescent="0.3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8" x14ac:dyDescent="0.35">
      <c r="A2">
        <v>101</v>
      </c>
      <c r="B2">
        <v>1</v>
      </c>
      <c r="C2">
        <v>12.5</v>
      </c>
      <c r="D2" t="s">
        <v>28</v>
      </c>
      <c r="E2" t="s">
        <v>29</v>
      </c>
    </row>
    <row r="3" spans="1:8" x14ac:dyDescent="0.35">
      <c r="A3">
        <v>102</v>
      </c>
      <c r="B3">
        <v>200</v>
      </c>
      <c r="C3">
        <v>954.8</v>
      </c>
      <c r="D3" t="s">
        <v>30</v>
      </c>
      <c r="E3" t="s">
        <v>31</v>
      </c>
    </row>
    <row r="4" spans="1:8" x14ac:dyDescent="0.35">
      <c r="A4">
        <v>103</v>
      </c>
      <c r="B4">
        <v>165</v>
      </c>
      <c r="C4">
        <v>644.79999999999995</v>
      </c>
      <c r="D4" t="s">
        <v>30</v>
      </c>
      <c r="E4" t="s">
        <v>31</v>
      </c>
    </row>
    <row r="5" spans="1:8" x14ac:dyDescent="0.35">
      <c r="A5">
        <v>104</v>
      </c>
      <c r="B5">
        <v>180</v>
      </c>
      <c r="C5">
        <v>854</v>
      </c>
      <c r="D5" t="s">
        <v>30</v>
      </c>
      <c r="E5" t="s">
        <v>31</v>
      </c>
    </row>
    <row r="6" spans="1:8" x14ac:dyDescent="0.35">
      <c r="A6">
        <v>105</v>
      </c>
      <c r="B6">
        <v>250</v>
      </c>
      <c r="C6">
        <v>670</v>
      </c>
      <c r="D6" t="s">
        <v>30</v>
      </c>
      <c r="E6" t="s">
        <v>31</v>
      </c>
    </row>
    <row r="7" spans="1:8" x14ac:dyDescent="0.35">
      <c r="A7">
        <v>107</v>
      </c>
      <c r="B7">
        <v>400</v>
      </c>
      <c r="C7">
        <v>2000</v>
      </c>
      <c r="D7" t="s">
        <v>30</v>
      </c>
      <c r="E7" t="s">
        <v>29</v>
      </c>
    </row>
    <row r="8" spans="1:8" x14ac:dyDescent="0.35">
      <c r="A8">
        <v>108</v>
      </c>
      <c r="B8">
        <v>550</v>
      </c>
      <c r="C8">
        <v>4000</v>
      </c>
      <c r="D8" t="s">
        <v>30</v>
      </c>
      <c r="E8" t="s">
        <v>29</v>
      </c>
      <c r="G8" t="s">
        <v>175</v>
      </c>
      <c r="H8" t="s">
        <v>176</v>
      </c>
    </row>
    <row r="9" spans="1:8" x14ac:dyDescent="0.35">
      <c r="A9">
        <v>109</v>
      </c>
      <c r="B9">
        <v>390</v>
      </c>
      <c r="C9">
        <v>1360</v>
      </c>
      <c r="D9" t="s">
        <v>30</v>
      </c>
      <c r="E9" t="s">
        <v>29</v>
      </c>
      <c r="H9">
        <v>1</v>
      </c>
    </row>
    <row r="10" spans="1:8" x14ac:dyDescent="0.35">
      <c r="A10">
        <v>110</v>
      </c>
      <c r="B10">
        <v>1.4</v>
      </c>
      <c r="C10">
        <v>3.5</v>
      </c>
      <c r="D10" t="s">
        <v>28</v>
      </c>
      <c r="E10" t="s">
        <v>29</v>
      </c>
      <c r="H10">
        <v>2</v>
      </c>
    </row>
    <row r="11" spans="1:8" x14ac:dyDescent="0.35">
      <c r="A11">
        <v>111</v>
      </c>
      <c r="B11">
        <v>25</v>
      </c>
      <c r="C11">
        <v>73.3</v>
      </c>
      <c r="D11" t="s">
        <v>30</v>
      </c>
      <c r="E11" t="s">
        <v>31</v>
      </c>
    </row>
    <row r="12" spans="1:8" x14ac:dyDescent="0.35">
      <c r="A12">
        <v>113</v>
      </c>
      <c r="B12">
        <v>165</v>
      </c>
      <c r="C12">
        <v>701.8</v>
      </c>
      <c r="D12" t="s">
        <v>30</v>
      </c>
      <c r="E12" t="s">
        <v>31</v>
      </c>
    </row>
    <row r="13" spans="1:8" x14ac:dyDescent="0.35">
      <c r="A13">
        <v>114</v>
      </c>
      <c r="B13">
        <v>205</v>
      </c>
      <c r="C13">
        <v>365.3</v>
      </c>
      <c r="D13" t="s">
        <v>30</v>
      </c>
      <c r="E13" t="s">
        <v>31</v>
      </c>
    </row>
    <row r="14" spans="1:8" x14ac:dyDescent="0.35">
      <c r="A14">
        <v>115</v>
      </c>
      <c r="B14">
        <v>55</v>
      </c>
      <c r="C14">
        <v>307.10000000000002</v>
      </c>
      <c r="D14" t="s">
        <v>30</v>
      </c>
      <c r="E14" t="s">
        <v>31</v>
      </c>
    </row>
    <row r="15" spans="1:8" x14ac:dyDescent="0.35">
      <c r="A15">
        <v>116</v>
      </c>
      <c r="B15">
        <v>103</v>
      </c>
      <c r="C15">
        <v>460.5</v>
      </c>
      <c r="D15" t="s">
        <v>30</v>
      </c>
      <c r="E15" t="s">
        <v>31</v>
      </c>
    </row>
    <row r="16" spans="1:8" x14ac:dyDescent="0.35">
      <c r="A16">
        <v>117</v>
      </c>
      <c r="B16">
        <v>200</v>
      </c>
      <c r="C16">
        <v>2202</v>
      </c>
      <c r="D16" t="s">
        <v>30</v>
      </c>
      <c r="E16" t="s">
        <v>31</v>
      </c>
    </row>
    <row r="17" spans="1:5" x14ac:dyDescent="0.35">
      <c r="A17">
        <v>118</v>
      </c>
      <c r="B17">
        <v>3.18</v>
      </c>
      <c r="C17">
        <v>3.3</v>
      </c>
      <c r="D17" t="s">
        <v>30</v>
      </c>
      <c r="E17" t="s">
        <v>31</v>
      </c>
    </row>
    <row r="18" spans="1:5" x14ac:dyDescent="0.35">
      <c r="A18">
        <v>119</v>
      </c>
      <c r="B18">
        <v>237</v>
      </c>
      <c r="C18">
        <v>2847</v>
      </c>
      <c r="D18" t="s">
        <v>30</v>
      </c>
      <c r="E18" t="s">
        <v>31</v>
      </c>
    </row>
    <row r="19" spans="1:5" x14ac:dyDescent="0.35">
      <c r="A19">
        <v>120</v>
      </c>
      <c r="B19">
        <v>7.2</v>
      </c>
      <c r="C19">
        <v>291</v>
      </c>
      <c r="D19" t="s">
        <v>30</v>
      </c>
      <c r="E19" t="s">
        <v>31</v>
      </c>
    </row>
    <row r="20" spans="1:5" x14ac:dyDescent="0.35">
      <c r="A20">
        <v>121</v>
      </c>
      <c r="B20">
        <v>185</v>
      </c>
      <c r="C20">
        <v>1006</v>
      </c>
      <c r="D20" t="s">
        <v>30</v>
      </c>
      <c r="E20" t="s">
        <v>31</v>
      </c>
    </row>
    <row r="21" spans="1:5" x14ac:dyDescent="0.35">
      <c r="A21">
        <v>122</v>
      </c>
      <c r="B21">
        <v>22</v>
      </c>
      <c r="C21">
        <v>322.2</v>
      </c>
      <c r="D21" t="s">
        <v>30</v>
      </c>
      <c r="E21" t="s">
        <v>31</v>
      </c>
    </row>
    <row r="22" spans="1:5" x14ac:dyDescent="0.35">
      <c r="A22">
        <v>123</v>
      </c>
      <c r="B22">
        <v>63</v>
      </c>
      <c r="C22">
        <v>1046</v>
      </c>
      <c r="D22" t="s">
        <v>30</v>
      </c>
      <c r="E22" t="s">
        <v>31</v>
      </c>
    </row>
    <row r="23" spans="1:5" x14ac:dyDescent="0.35">
      <c r="A23">
        <v>124</v>
      </c>
      <c r="B23">
        <v>15.5</v>
      </c>
      <c r="C23">
        <v>263.10000000000002</v>
      </c>
      <c r="D23" t="s">
        <v>30</v>
      </c>
      <c r="E23" t="s">
        <v>31</v>
      </c>
    </row>
    <row r="24" spans="1:5" x14ac:dyDescent="0.35">
      <c r="A24">
        <v>125</v>
      </c>
      <c r="B24">
        <v>400</v>
      </c>
      <c r="C24">
        <v>2798</v>
      </c>
      <c r="D24" t="s">
        <v>30</v>
      </c>
      <c r="E24" t="s">
        <v>31</v>
      </c>
    </row>
    <row r="25" spans="1:5" x14ac:dyDescent="0.35">
      <c r="A25">
        <v>126</v>
      </c>
      <c r="B25">
        <v>400</v>
      </c>
      <c r="C25">
        <v>2048</v>
      </c>
      <c r="D25" t="s">
        <v>30</v>
      </c>
      <c r="E25" t="s">
        <v>31</v>
      </c>
    </row>
    <row r="26" spans="1:5" x14ac:dyDescent="0.35">
      <c r="A26">
        <v>127</v>
      </c>
      <c r="B26">
        <v>70</v>
      </c>
      <c r="C26">
        <v>100</v>
      </c>
      <c r="D26" t="s">
        <v>30</v>
      </c>
      <c r="E26" t="s">
        <v>29</v>
      </c>
    </row>
    <row r="27" spans="1:5" x14ac:dyDescent="0.35">
      <c r="A27">
        <v>128</v>
      </c>
      <c r="B27">
        <v>120</v>
      </c>
      <c r="C27">
        <v>1350</v>
      </c>
      <c r="D27" t="s">
        <v>30</v>
      </c>
      <c r="E27" t="s">
        <v>29</v>
      </c>
    </row>
    <row r="28" spans="1:5" x14ac:dyDescent="0.35">
      <c r="A28">
        <v>129</v>
      </c>
      <c r="B28">
        <v>100</v>
      </c>
      <c r="C28">
        <v>410</v>
      </c>
      <c r="D28" t="s">
        <v>30</v>
      </c>
      <c r="E28" t="s">
        <v>29</v>
      </c>
    </row>
    <row r="29" spans="1:5" x14ac:dyDescent="0.35">
      <c r="A29">
        <v>130</v>
      </c>
      <c r="B29">
        <v>850</v>
      </c>
      <c r="C29">
        <v>8540</v>
      </c>
      <c r="D29" t="s">
        <v>30</v>
      </c>
      <c r="E29" t="s">
        <v>29</v>
      </c>
    </row>
    <row r="30" spans="1:5" x14ac:dyDescent="0.35">
      <c r="A30">
        <v>131</v>
      </c>
      <c r="B30">
        <v>1</v>
      </c>
      <c r="C30">
        <v>5.9</v>
      </c>
      <c r="D30" t="s">
        <v>28</v>
      </c>
      <c r="E30" t="s">
        <v>29</v>
      </c>
    </row>
    <row r="31" spans="1:5" x14ac:dyDescent="0.35">
      <c r="A31">
        <v>132</v>
      </c>
      <c r="B31">
        <v>2</v>
      </c>
      <c r="C31">
        <v>3.6</v>
      </c>
      <c r="D31" t="s">
        <v>28</v>
      </c>
      <c r="E31" t="s">
        <v>29</v>
      </c>
    </row>
    <row r="32" spans="1:5" x14ac:dyDescent="0.35">
      <c r="A32">
        <v>133</v>
      </c>
      <c r="B32">
        <v>5.5</v>
      </c>
      <c r="C32">
        <v>12</v>
      </c>
      <c r="D32" t="s">
        <v>28</v>
      </c>
      <c r="E32" t="s">
        <v>29</v>
      </c>
    </row>
    <row r="33" spans="1:5" x14ac:dyDescent="0.35">
      <c r="A33">
        <v>134</v>
      </c>
      <c r="B33">
        <v>1.8</v>
      </c>
      <c r="C33">
        <v>6.5</v>
      </c>
      <c r="D33" t="s">
        <v>28</v>
      </c>
      <c r="E33" t="s">
        <v>29</v>
      </c>
    </row>
    <row r="34" spans="1:5" x14ac:dyDescent="0.35">
      <c r="A34">
        <v>135</v>
      </c>
      <c r="B34">
        <v>250</v>
      </c>
      <c r="C34">
        <v>3409</v>
      </c>
      <c r="D34" t="s">
        <v>30</v>
      </c>
      <c r="E34" t="s">
        <v>29</v>
      </c>
    </row>
    <row r="35" spans="1:5" x14ac:dyDescent="0.35">
      <c r="A35">
        <v>136</v>
      </c>
      <c r="B35">
        <v>900</v>
      </c>
      <c r="C35">
        <v>11690</v>
      </c>
      <c r="D35" t="s">
        <v>30</v>
      </c>
      <c r="E35" t="s">
        <v>29</v>
      </c>
    </row>
    <row r="36" spans="1:5" x14ac:dyDescent="0.35">
      <c r="A36">
        <v>137</v>
      </c>
      <c r="B36">
        <v>216.7</v>
      </c>
      <c r="C36">
        <v>370.6</v>
      </c>
      <c r="D36" t="s">
        <v>30</v>
      </c>
      <c r="E36" t="s">
        <v>31</v>
      </c>
    </row>
    <row r="37" spans="1:5" x14ac:dyDescent="0.35">
      <c r="A37">
        <v>138</v>
      </c>
      <c r="B37">
        <v>177</v>
      </c>
      <c r="C37">
        <v>714.4</v>
      </c>
      <c r="D37" t="s">
        <v>30</v>
      </c>
      <c r="E37" t="s">
        <v>31</v>
      </c>
    </row>
    <row r="38" spans="1:5" x14ac:dyDescent="0.35">
      <c r="A38">
        <v>139</v>
      </c>
      <c r="B38">
        <v>1.8</v>
      </c>
      <c r="C38">
        <v>3.1</v>
      </c>
      <c r="D38" t="s">
        <v>28</v>
      </c>
      <c r="E38" t="s">
        <v>29</v>
      </c>
    </row>
    <row r="39" spans="1:5" x14ac:dyDescent="0.35">
      <c r="A39">
        <v>140</v>
      </c>
      <c r="B39">
        <v>500</v>
      </c>
      <c r="C39">
        <v>950</v>
      </c>
      <c r="D39" t="s">
        <v>30</v>
      </c>
      <c r="E39" t="s">
        <v>29</v>
      </c>
    </row>
    <row r="40" spans="1:5" x14ac:dyDescent="0.35">
      <c r="A40">
        <v>406</v>
      </c>
      <c r="B40">
        <v>30</v>
      </c>
      <c r="C40">
        <v>350</v>
      </c>
      <c r="D40" t="s">
        <v>30</v>
      </c>
      <c r="E40" t="s">
        <v>29</v>
      </c>
    </row>
    <row r="41" spans="1:5" x14ac:dyDescent="0.35">
      <c r="A41">
        <v>412</v>
      </c>
      <c r="B41">
        <v>160</v>
      </c>
      <c r="C41">
        <v>836.8</v>
      </c>
      <c r="D41" t="s">
        <v>30</v>
      </c>
      <c r="E41" t="s">
        <v>31</v>
      </c>
    </row>
    <row r="43" spans="1:5" x14ac:dyDescent="0.35">
      <c r="C43">
        <f>SUM(C1:C41)</f>
        <v>53986.1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47" zoomScaleNormal="160" workbookViewId="0">
      <selection activeCell="E12" sqref="E12"/>
    </sheetView>
  </sheetViews>
  <sheetFormatPr defaultRowHeight="14.5" x14ac:dyDescent="0.35"/>
  <cols>
    <col min="2" max="2" width="26.453125" customWidth="1"/>
    <col min="3" max="3" width="10.81640625" customWidth="1"/>
  </cols>
  <sheetData>
    <row r="1" spans="1:3" x14ac:dyDescent="0.35">
      <c r="A1" s="2" t="s">
        <v>32</v>
      </c>
      <c r="B1" s="2" t="s">
        <v>33</v>
      </c>
      <c r="C1" s="2" t="s">
        <v>34</v>
      </c>
    </row>
    <row r="2" spans="1:3" x14ac:dyDescent="0.35">
      <c r="A2">
        <v>50</v>
      </c>
      <c r="B2" t="s">
        <v>35</v>
      </c>
      <c r="C2">
        <v>1986</v>
      </c>
    </row>
    <row r="3" spans="1:3" x14ac:dyDescent="0.35">
      <c r="A3">
        <v>51</v>
      </c>
      <c r="B3" t="s">
        <v>36</v>
      </c>
      <c r="C3">
        <v>1959</v>
      </c>
    </row>
    <row r="4" spans="1:3" x14ac:dyDescent="0.35">
      <c r="A4">
        <v>52</v>
      </c>
      <c r="B4" t="s">
        <v>37</v>
      </c>
      <c r="C4">
        <v>1976</v>
      </c>
    </row>
    <row r="5" spans="1:3" x14ac:dyDescent="0.35">
      <c r="A5">
        <v>53</v>
      </c>
      <c r="B5" t="s">
        <v>38</v>
      </c>
      <c r="C5">
        <v>1989</v>
      </c>
    </row>
    <row r="6" spans="1:3" x14ac:dyDescent="0.35">
      <c r="A6">
        <v>54</v>
      </c>
      <c r="B6" t="s">
        <v>39</v>
      </c>
      <c r="C6">
        <v>1983</v>
      </c>
    </row>
    <row r="7" spans="1:3" x14ac:dyDescent="0.35">
      <c r="A7">
        <v>55</v>
      </c>
      <c r="B7" t="s">
        <v>40</v>
      </c>
      <c r="C7">
        <v>1981</v>
      </c>
    </row>
    <row r="8" spans="1:3" x14ac:dyDescent="0.35">
      <c r="A8">
        <v>56</v>
      </c>
      <c r="B8" t="s">
        <v>41</v>
      </c>
      <c r="C8">
        <v>1981</v>
      </c>
    </row>
    <row r="9" spans="1:3" x14ac:dyDescent="0.35">
      <c r="A9">
        <v>57</v>
      </c>
      <c r="B9" t="s">
        <v>42</v>
      </c>
      <c r="C9">
        <v>1942</v>
      </c>
    </row>
    <row r="10" spans="1:3" x14ac:dyDescent="0.35">
      <c r="A10">
        <v>58</v>
      </c>
      <c r="B10" t="s">
        <v>43</v>
      </c>
      <c r="C10">
        <v>1948</v>
      </c>
    </row>
    <row r="11" spans="1:3" x14ac:dyDescent="0.35">
      <c r="A11">
        <v>59</v>
      </c>
      <c r="B11" t="s">
        <v>44</v>
      </c>
      <c r="C11">
        <v>1965</v>
      </c>
    </row>
    <row r="12" spans="1:3" x14ac:dyDescent="0.35">
      <c r="A12">
        <v>60</v>
      </c>
      <c r="B12" t="s">
        <v>45</v>
      </c>
      <c r="C12">
        <v>1974</v>
      </c>
    </row>
    <row r="13" spans="1:3" x14ac:dyDescent="0.35">
      <c r="A13">
        <v>61</v>
      </c>
      <c r="B13" t="s">
        <v>46</v>
      </c>
      <c r="C13">
        <v>1965</v>
      </c>
    </row>
    <row r="14" spans="1:3" x14ac:dyDescent="0.35">
      <c r="A14">
        <v>62</v>
      </c>
      <c r="B14" t="s">
        <v>47</v>
      </c>
      <c r="C14">
        <v>1970</v>
      </c>
    </row>
    <row r="15" spans="1:3" x14ac:dyDescent="0.35">
      <c r="A15">
        <v>63</v>
      </c>
      <c r="B15" t="s">
        <v>48</v>
      </c>
      <c r="C15">
        <v>1979</v>
      </c>
    </row>
    <row r="16" spans="1:3" x14ac:dyDescent="0.35">
      <c r="A16">
        <v>64</v>
      </c>
      <c r="B16" t="s">
        <v>49</v>
      </c>
      <c r="C16">
        <v>1974</v>
      </c>
    </row>
    <row r="17" spans="1:3" x14ac:dyDescent="0.35">
      <c r="A17">
        <v>65</v>
      </c>
      <c r="B17" t="s">
        <v>50</v>
      </c>
      <c r="C17">
        <v>1985</v>
      </c>
    </row>
    <row r="18" spans="1:3" x14ac:dyDescent="0.35">
      <c r="A18">
        <v>66</v>
      </c>
      <c r="B18" t="s">
        <v>51</v>
      </c>
      <c r="C18">
        <v>1986</v>
      </c>
    </row>
    <row r="19" spans="1:3" x14ac:dyDescent="0.35">
      <c r="A19">
        <v>67</v>
      </c>
      <c r="B19" t="s">
        <v>52</v>
      </c>
      <c r="C19">
        <v>1958</v>
      </c>
    </row>
    <row r="20" spans="1:3" x14ac:dyDescent="0.35">
      <c r="A20">
        <v>68</v>
      </c>
      <c r="B20" t="s">
        <v>53</v>
      </c>
      <c r="C20">
        <v>1937</v>
      </c>
    </row>
    <row r="21" spans="1:3" x14ac:dyDescent="0.35">
      <c r="A21">
        <v>69</v>
      </c>
      <c r="B21" t="s">
        <v>54</v>
      </c>
      <c r="C21">
        <v>1974</v>
      </c>
    </row>
    <row r="22" spans="1:3" x14ac:dyDescent="0.35">
      <c r="A22">
        <v>70</v>
      </c>
      <c r="B22" t="s">
        <v>55</v>
      </c>
      <c r="C22">
        <v>1959</v>
      </c>
    </row>
    <row r="23" spans="1:3" x14ac:dyDescent="0.35">
      <c r="A23">
        <v>71</v>
      </c>
      <c r="B23" t="s">
        <v>56</v>
      </c>
      <c r="C23">
        <v>1969</v>
      </c>
    </row>
    <row r="24" spans="1:3" x14ac:dyDescent="0.35">
      <c r="A24">
        <v>72</v>
      </c>
      <c r="B24" t="s">
        <v>57</v>
      </c>
      <c r="C24">
        <v>1982</v>
      </c>
    </row>
    <row r="25" spans="1:3" x14ac:dyDescent="0.35">
      <c r="A25">
        <v>73</v>
      </c>
      <c r="B25" t="s">
        <v>58</v>
      </c>
      <c r="C25">
        <v>1984</v>
      </c>
    </row>
    <row r="26" spans="1:3" x14ac:dyDescent="0.35">
      <c r="A26">
        <v>74</v>
      </c>
      <c r="B26" t="s">
        <v>59</v>
      </c>
      <c r="C26">
        <v>1986</v>
      </c>
    </row>
    <row r="27" spans="1:3" x14ac:dyDescent="0.35">
      <c r="A27">
        <v>75</v>
      </c>
      <c r="B27" t="s">
        <v>60</v>
      </c>
      <c r="C27">
        <v>1968</v>
      </c>
    </row>
    <row r="28" spans="1:3" x14ac:dyDescent="0.35">
      <c r="A28">
        <v>76</v>
      </c>
      <c r="B28" t="s">
        <v>61</v>
      </c>
      <c r="C28">
        <v>1972</v>
      </c>
    </row>
    <row r="29" spans="1:3" x14ac:dyDescent="0.35">
      <c r="A29">
        <v>77</v>
      </c>
      <c r="B29" t="s">
        <v>62</v>
      </c>
      <c r="C29">
        <v>1964</v>
      </c>
    </row>
    <row r="30" spans="1:3" x14ac:dyDescent="0.35">
      <c r="A30">
        <v>78</v>
      </c>
      <c r="B30" t="s">
        <v>63</v>
      </c>
      <c r="C30">
        <v>1974</v>
      </c>
    </row>
    <row r="31" spans="1:3" x14ac:dyDescent="0.35">
      <c r="A31">
        <v>79</v>
      </c>
      <c r="B31" t="s">
        <v>64</v>
      </c>
      <c r="C31">
        <v>1975</v>
      </c>
    </row>
    <row r="32" spans="1:3" x14ac:dyDescent="0.35">
      <c r="A32">
        <v>80</v>
      </c>
      <c r="B32" t="s">
        <v>65</v>
      </c>
      <c r="C32">
        <v>1908</v>
      </c>
    </row>
    <row r="33" spans="1:3" x14ac:dyDescent="0.35">
      <c r="A33">
        <v>81</v>
      </c>
      <c r="B33" t="s">
        <v>66</v>
      </c>
      <c r="C33">
        <v>1921</v>
      </c>
    </row>
    <row r="34" spans="1:3" x14ac:dyDescent="0.35">
      <c r="A34">
        <v>82</v>
      </c>
      <c r="B34" t="s">
        <v>67</v>
      </c>
      <c r="C34">
        <v>1976</v>
      </c>
    </row>
    <row r="35" spans="1:3" x14ac:dyDescent="0.35">
      <c r="A35">
        <v>83</v>
      </c>
      <c r="B35" t="s">
        <v>68</v>
      </c>
      <c r="C35">
        <v>1978</v>
      </c>
    </row>
    <row r="36" spans="1:3" x14ac:dyDescent="0.35">
      <c r="A36">
        <v>84</v>
      </c>
      <c r="B36" t="s">
        <v>69</v>
      </c>
      <c r="C36">
        <v>1924</v>
      </c>
    </row>
    <row r="37" spans="1:3" x14ac:dyDescent="0.35">
      <c r="A37">
        <v>85</v>
      </c>
      <c r="B37" t="s">
        <v>70</v>
      </c>
      <c r="C37">
        <v>1940</v>
      </c>
    </row>
    <row r="38" spans="1:3" x14ac:dyDescent="0.35">
      <c r="A38">
        <v>86</v>
      </c>
      <c r="B38" t="s">
        <v>71</v>
      </c>
      <c r="C38">
        <v>1974</v>
      </c>
    </row>
    <row r="39" spans="1:3" x14ac:dyDescent="0.35">
      <c r="A39">
        <v>87</v>
      </c>
      <c r="B39" t="s">
        <v>72</v>
      </c>
      <c r="C39">
        <v>1979</v>
      </c>
    </row>
    <row r="40" spans="1:3" x14ac:dyDescent="0.35">
      <c r="A40">
        <v>88</v>
      </c>
      <c r="B40" t="s">
        <v>73</v>
      </c>
      <c r="C40">
        <v>1952</v>
      </c>
    </row>
    <row r="41" spans="1:3" x14ac:dyDescent="0.35">
      <c r="A41">
        <v>89</v>
      </c>
      <c r="B41" t="s">
        <v>74</v>
      </c>
      <c r="C41">
        <v>1943</v>
      </c>
    </row>
    <row r="42" spans="1:3" x14ac:dyDescent="0.35">
      <c r="A42">
        <v>90</v>
      </c>
      <c r="B42" t="s">
        <v>75</v>
      </c>
      <c r="C42">
        <v>1947</v>
      </c>
    </row>
    <row r="43" spans="1:3" x14ac:dyDescent="0.35">
      <c r="A43">
        <v>91</v>
      </c>
      <c r="B43" t="s">
        <v>76</v>
      </c>
      <c r="C43">
        <v>1967</v>
      </c>
    </row>
    <row r="44" spans="1:3" x14ac:dyDescent="0.35">
      <c r="A44">
        <v>92</v>
      </c>
      <c r="B44" t="s">
        <v>77</v>
      </c>
      <c r="C44">
        <v>1967</v>
      </c>
    </row>
    <row r="45" spans="1:3" x14ac:dyDescent="0.35">
      <c r="A45">
        <v>93</v>
      </c>
      <c r="B45" t="s">
        <v>78</v>
      </c>
      <c r="C45">
        <v>1975</v>
      </c>
    </row>
    <row r="46" spans="1:3" x14ac:dyDescent="0.35">
      <c r="A46">
        <v>94</v>
      </c>
      <c r="B46" t="s">
        <v>79</v>
      </c>
      <c r="C46">
        <v>1965</v>
      </c>
    </row>
    <row r="47" spans="1:3" x14ac:dyDescent="0.35">
      <c r="A47">
        <v>95</v>
      </c>
      <c r="B47" t="s">
        <v>80</v>
      </c>
      <c r="C47">
        <v>1981</v>
      </c>
    </row>
    <row r="48" spans="1:3" x14ac:dyDescent="0.35">
      <c r="A48">
        <v>150</v>
      </c>
      <c r="B48" t="s">
        <v>81</v>
      </c>
      <c r="C48">
        <v>1905</v>
      </c>
    </row>
    <row r="49" spans="1:3" x14ac:dyDescent="0.35">
      <c r="A49">
        <v>151</v>
      </c>
      <c r="B49" t="s">
        <v>82</v>
      </c>
      <c r="C49">
        <v>1919</v>
      </c>
    </row>
    <row r="50" spans="1:3" x14ac:dyDescent="0.35">
      <c r="A50">
        <v>152</v>
      </c>
      <c r="B50" t="s">
        <v>83</v>
      </c>
      <c r="C50">
        <v>1997</v>
      </c>
    </row>
    <row r="51" spans="1:3" x14ac:dyDescent="0.35">
      <c r="A51">
        <v>153</v>
      </c>
      <c r="B51" t="s">
        <v>84</v>
      </c>
      <c r="C51">
        <v>1929</v>
      </c>
    </row>
    <row r="52" spans="1:3" x14ac:dyDescent="0.35">
      <c r="A52">
        <v>154</v>
      </c>
      <c r="B52" t="s">
        <v>85</v>
      </c>
      <c r="C52">
        <v>1988</v>
      </c>
    </row>
    <row r="53" spans="1:3" x14ac:dyDescent="0.35">
      <c r="A53">
        <v>155</v>
      </c>
      <c r="B53" t="s">
        <v>86</v>
      </c>
      <c r="C53">
        <v>1982</v>
      </c>
    </row>
    <row r="54" spans="1:3" x14ac:dyDescent="0.35">
      <c r="A54">
        <v>156</v>
      </c>
      <c r="B54" t="s">
        <v>87</v>
      </c>
      <c r="C54">
        <v>1982</v>
      </c>
    </row>
    <row r="55" spans="1:3" x14ac:dyDescent="0.35">
      <c r="A55">
        <v>157</v>
      </c>
      <c r="B55" t="s">
        <v>88</v>
      </c>
      <c r="C55">
        <v>1982</v>
      </c>
    </row>
    <row r="56" spans="1:3" x14ac:dyDescent="0.35">
      <c r="A56">
        <v>158</v>
      </c>
      <c r="B56" t="s">
        <v>89</v>
      </c>
      <c r="C56">
        <v>1983</v>
      </c>
    </row>
    <row r="57" spans="1:3" x14ac:dyDescent="0.35">
      <c r="A57">
        <v>159</v>
      </c>
      <c r="B57" t="s">
        <v>90</v>
      </c>
      <c r="C57">
        <v>1985</v>
      </c>
    </row>
    <row r="58" spans="1:3" x14ac:dyDescent="0.35">
      <c r="A58">
        <v>160</v>
      </c>
      <c r="B58" t="s">
        <v>91</v>
      </c>
      <c r="C58">
        <v>1979</v>
      </c>
    </row>
    <row r="59" spans="1:3" x14ac:dyDescent="0.35">
      <c r="A59">
        <v>161</v>
      </c>
      <c r="B59" t="s">
        <v>92</v>
      </c>
      <c r="C59">
        <v>1984</v>
      </c>
    </row>
    <row r="60" spans="1:3" x14ac:dyDescent="0.35">
      <c r="A60">
        <v>162</v>
      </c>
      <c r="B60" t="s">
        <v>93</v>
      </c>
      <c r="C60">
        <v>1950</v>
      </c>
    </row>
    <row r="61" spans="1:3" x14ac:dyDescent="0.35">
      <c r="A61">
        <v>163</v>
      </c>
      <c r="B61" t="s">
        <v>94</v>
      </c>
      <c r="C61">
        <v>1955</v>
      </c>
    </row>
    <row r="62" spans="1:3" x14ac:dyDescent="0.35">
      <c r="A62">
        <v>164</v>
      </c>
      <c r="B62" t="s">
        <v>95</v>
      </c>
      <c r="C62">
        <v>1965</v>
      </c>
    </row>
    <row r="63" spans="1:3" x14ac:dyDescent="0.35">
      <c r="A63">
        <v>165</v>
      </c>
      <c r="B63" t="s">
        <v>96</v>
      </c>
      <c r="C63">
        <v>1967</v>
      </c>
    </row>
    <row r="64" spans="1:3" x14ac:dyDescent="0.35">
      <c r="A64">
        <v>166</v>
      </c>
      <c r="B64" t="s">
        <v>97</v>
      </c>
      <c r="C64">
        <v>1946</v>
      </c>
    </row>
    <row r="65" spans="1:3" x14ac:dyDescent="0.35">
      <c r="A65">
        <v>167</v>
      </c>
      <c r="B65" t="s">
        <v>98</v>
      </c>
      <c r="C65">
        <v>1982</v>
      </c>
    </row>
    <row r="66" spans="1:3" x14ac:dyDescent="0.35">
      <c r="A66">
        <v>168</v>
      </c>
      <c r="B66" t="s">
        <v>99</v>
      </c>
      <c r="C66">
        <v>1956</v>
      </c>
    </row>
    <row r="67" spans="1:3" x14ac:dyDescent="0.35">
      <c r="A67">
        <v>169</v>
      </c>
      <c r="B67" t="s">
        <v>100</v>
      </c>
      <c r="C67">
        <v>1985</v>
      </c>
    </row>
    <row r="68" spans="1:3" x14ac:dyDescent="0.35">
      <c r="A68">
        <v>170</v>
      </c>
      <c r="B68" t="s">
        <v>101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D17" sqref="D17"/>
    </sheetView>
  </sheetViews>
  <sheetFormatPr defaultRowHeight="14.5" x14ac:dyDescent="0.35"/>
  <cols>
    <col min="1" max="1" width="9.81640625" customWidth="1"/>
  </cols>
  <sheetData>
    <row r="1" spans="1:2" x14ac:dyDescent="0.35">
      <c r="A1" s="2" t="s">
        <v>0</v>
      </c>
      <c r="B1" s="2" t="s">
        <v>32</v>
      </c>
    </row>
    <row r="2" spans="1:2" x14ac:dyDescent="0.35">
      <c r="A2">
        <v>101</v>
      </c>
      <c r="B2">
        <v>50</v>
      </c>
    </row>
    <row r="3" spans="1:2" x14ac:dyDescent="0.35">
      <c r="A3">
        <v>101</v>
      </c>
      <c r="B3">
        <v>51</v>
      </c>
    </row>
    <row r="4" spans="1:2" x14ac:dyDescent="0.35">
      <c r="A4">
        <v>102</v>
      </c>
      <c r="B4">
        <v>52</v>
      </c>
    </row>
    <row r="5" spans="1:2" x14ac:dyDescent="0.35">
      <c r="A5">
        <v>102</v>
      </c>
      <c r="B5">
        <v>53</v>
      </c>
    </row>
    <row r="6" spans="1:2" x14ac:dyDescent="0.35">
      <c r="A6">
        <v>103</v>
      </c>
      <c r="B6">
        <v>54</v>
      </c>
    </row>
    <row r="7" spans="1:2" x14ac:dyDescent="0.35">
      <c r="A7">
        <v>103</v>
      </c>
      <c r="B7">
        <v>55</v>
      </c>
    </row>
    <row r="8" spans="1:2" x14ac:dyDescent="0.35">
      <c r="A8">
        <v>103</v>
      </c>
      <c r="B8">
        <v>56</v>
      </c>
    </row>
    <row r="9" spans="1:2" x14ac:dyDescent="0.35">
      <c r="A9">
        <v>104</v>
      </c>
      <c r="B9">
        <v>54</v>
      </c>
    </row>
    <row r="10" spans="1:2" x14ac:dyDescent="0.35">
      <c r="A10">
        <v>104</v>
      </c>
      <c r="B10">
        <v>56</v>
      </c>
    </row>
    <row r="11" spans="1:2" x14ac:dyDescent="0.35">
      <c r="A11">
        <v>105</v>
      </c>
      <c r="B11">
        <v>54</v>
      </c>
    </row>
    <row r="12" spans="1:2" x14ac:dyDescent="0.35">
      <c r="A12">
        <v>105</v>
      </c>
      <c r="B12">
        <v>55</v>
      </c>
    </row>
    <row r="13" spans="1:2" x14ac:dyDescent="0.35">
      <c r="A13">
        <v>106</v>
      </c>
      <c r="B13">
        <v>57</v>
      </c>
    </row>
    <row r="14" spans="1:2" x14ac:dyDescent="0.35">
      <c r="A14">
        <v>106</v>
      </c>
      <c r="B14">
        <v>58</v>
      </c>
    </row>
    <row r="15" spans="1:2" x14ac:dyDescent="0.35">
      <c r="A15">
        <v>107</v>
      </c>
      <c r="B15">
        <v>59</v>
      </c>
    </row>
    <row r="16" spans="1:2" x14ac:dyDescent="0.35">
      <c r="A16">
        <v>107</v>
      </c>
      <c r="B16">
        <v>60</v>
      </c>
    </row>
    <row r="17" spans="1:2" x14ac:dyDescent="0.35">
      <c r="A17">
        <v>108</v>
      </c>
      <c r="B17">
        <v>61</v>
      </c>
    </row>
    <row r="18" spans="1:2" x14ac:dyDescent="0.35">
      <c r="A18">
        <v>108</v>
      </c>
      <c r="B18">
        <v>62</v>
      </c>
    </row>
    <row r="19" spans="1:2" x14ac:dyDescent="0.35">
      <c r="A19">
        <v>108</v>
      </c>
      <c r="B19">
        <v>63</v>
      </c>
    </row>
    <row r="20" spans="1:2" x14ac:dyDescent="0.35">
      <c r="A20">
        <v>109</v>
      </c>
      <c r="B20">
        <v>59</v>
      </c>
    </row>
    <row r="21" spans="1:2" x14ac:dyDescent="0.35">
      <c r="A21">
        <v>109</v>
      </c>
      <c r="B21">
        <v>57</v>
      </c>
    </row>
    <row r="22" spans="1:2" x14ac:dyDescent="0.35">
      <c r="A22">
        <v>109</v>
      </c>
      <c r="B22">
        <v>64</v>
      </c>
    </row>
    <row r="23" spans="1:2" x14ac:dyDescent="0.35">
      <c r="A23">
        <v>110</v>
      </c>
      <c r="B23">
        <v>65</v>
      </c>
    </row>
    <row r="24" spans="1:2" x14ac:dyDescent="0.35">
      <c r="A24">
        <v>110</v>
      </c>
      <c r="B24">
        <v>66</v>
      </c>
    </row>
    <row r="25" spans="1:2" x14ac:dyDescent="0.35">
      <c r="A25">
        <v>111</v>
      </c>
      <c r="B25">
        <v>67</v>
      </c>
    </row>
    <row r="26" spans="1:2" x14ac:dyDescent="0.35">
      <c r="A26">
        <v>111</v>
      </c>
      <c r="B26">
        <v>68</v>
      </c>
    </row>
    <row r="27" spans="1:2" x14ac:dyDescent="0.35">
      <c r="A27">
        <v>112</v>
      </c>
      <c r="B27">
        <v>69</v>
      </c>
    </row>
    <row r="28" spans="1:2" x14ac:dyDescent="0.35">
      <c r="A28">
        <v>112</v>
      </c>
      <c r="B28">
        <v>70</v>
      </c>
    </row>
    <row r="29" spans="1:2" x14ac:dyDescent="0.35">
      <c r="A29">
        <v>113</v>
      </c>
      <c r="B29">
        <v>71</v>
      </c>
    </row>
    <row r="30" spans="1:2" x14ac:dyDescent="0.35">
      <c r="A30">
        <v>113</v>
      </c>
      <c r="B30">
        <v>72</v>
      </c>
    </row>
    <row r="31" spans="1:2" x14ac:dyDescent="0.35">
      <c r="A31">
        <v>114</v>
      </c>
      <c r="B31">
        <v>73</v>
      </c>
    </row>
    <row r="32" spans="1:2" x14ac:dyDescent="0.35">
      <c r="A32">
        <v>114</v>
      </c>
      <c r="B32">
        <v>74</v>
      </c>
    </row>
    <row r="33" spans="1:2" x14ac:dyDescent="0.35">
      <c r="A33">
        <v>115</v>
      </c>
      <c r="B33">
        <v>75</v>
      </c>
    </row>
    <row r="34" spans="1:2" x14ac:dyDescent="0.35">
      <c r="A34">
        <v>115</v>
      </c>
      <c r="B34">
        <v>76</v>
      </c>
    </row>
    <row r="35" spans="1:2" x14ac:dyDescent="0.35">
      <c r="A35">
        <v>116</v>
      </c>
      <c r="B35">
        <v>77</v>
      </c>
    </row>
    <row r="36" spans="1:2" x14ac:dyDescent="0.35">
      <c r="A36">
        <v>116</v>
      </c>
      <c r="B36">
        <v>78</v>
      </c>
    </row>
    <row r="37" spans="1:2" x14ac:dyDescent="0.35">
      <c r="A37">
        <v>117</v>
      </c>
      <c r="B37">
        <v>69</v>
      </c>
    </row>
    <row r="38" spans="1:2" x14ac:dyDescent="0.35">
      <c r="A38">
        <v>117</v>
      </c>
      <c r="B38">
        <v>79</v>
      </c>
    </row>
    <row r="39" spans="1:2" x14ac:dyDescent="0.35">
      <c r="A39">
        <v>118</v>
      </c>
      <c r="B39">
        <v>80</v>
      </c>
    </row>
    <row r="40" spans="1:2" x14ac:dyDescent="0.35">
      <c r="A40">
        <v>118</v>
      </c>
      <c r="B40">
        <v>81</v>
      </c>
    </row>
    <row r="41" spans="1:2" x14ac:dyDescent="0.35">
      <c r="A41">
        <v>119</v>
      </c>
      <c r="B41">
        <v>82</v>
      </c>
    </row>
    <row r="42" spans="1:2" x14ac:dyDescent="0.35">
      <c r="A42">
        <v>119</v>
      </c>
      <c r="B42">
        <v>83</v>
      </c>
    </row>
    <row r="43" spans="1:2" x14ac:dyDescent="0.35">
      <c r="A43">
        <v>120</v>
      </c>
      <c r="B43">
        <v>84</v>
      </c>
    </row>
    <row r="44" spans="1:2" x14ac:dyDescent="0.35">
      <c r="A44">
        <v>120</v>
      </c>
      <c r="B44">
        <v>85</v>
      </c>
    </row>
    <row r="45" spans="1:2" x14ac:dyDescent="0.35">
      <c r="A45">
        <v>121</v>
      </c>
      <c r="B45">
        <v>86</v>
      </c>
    </row>
    <row r="46" spans="1:2" x14ac:dyDescent="0.35">
      <c r="A46">
        <v>121</v>
      </c>
      <c r="B46">
        <v>87</v>
      </c>
    </row>
    <row r="47" spans="1:2" x14ac:dyDescent="0.35">
      <c r="A47">
        <v>122</v>
      </c>
      <c r="B47">
        <v>88</v>
      </c>
    </row>
    <row r="48" spans="1:2" x14ac:dyDescent="0.35">
      <c r="A48">
        <v>122</v>
      </c>
      <c r="B48">
        <v>89</v>
      </c>
    </row>
    <row r="49" spans="1:2" x14ac:dyDescent="0.35">
      <c r="A49">
        <v>123</v>
      </c>
      <c r="B49">
        <v>90</v>
      </c>
    </row>
    <row r="50" spans="1:2" x14ac:dyDescent="0.35">
      <c r="A50">
        <v>123</v>
      </c>
      <c r="B50">
        <v>91</v>
      </c>
    </row>
    <row r="51" spans="1:2" x14ac:dyDescent="0.35">
      <c r="A51">
        <v>124</v>
      </c>
      <c r="B51">
        <v>92</v>
      </c>
    </row>
    <row r="52" spans="1:2" x14ac:dyDescent="0.35">
      <c r="A52">
        <v>124</v>
      </c>
      <c r="B52">
        <v>93</v>
      </c>
    </row>
    <row r="53" spans="1:2" x14ac:dyDescent="0.35">
      <c r="A53">
        <v>125</v>
      </c>
      <c r="B53">
        <v>94</v>
      </c>
    </row>
    <row r="54" spans="1:2" x14ac:dyDescent="0.35">
      <c r="A54">
        <v>125</v>
      </c>
      <c r="B54">
        <v>95</v>
      </c>
    </row>
    <row r="55" spans="1:2" x14ac:dyDescent="0.35">
      <c r="A55">
        <v>125</v>
      </c>
      <c r="B55">
        <v>54</v>
      </c>
    </row>
    <row r="56" spans="1:2" x14ac:dyDescent="0.35">
      <c r="A56">
        <v>126</v>
      </c>
      <c r="B56">
        <v>94</v>
      </c>
    </row>
    <row r="57" spans="1:2" x14ac:dyDescent="0.35">
      <c r="A57">
        <v>126</v>
      </c>
      <c r="B57">
        <v>95</v>
      </c>
    </row>
    <row r="58" spans="1:2" x14ac:dyDescent="0.35">
      <c r="A58">
        <v>126</v>
      </c>
      <c r="B58">
        <v>54</v>
      </c>
    </row>
    <row r="59" spans="1:2" x14ac:dyDescent="0.35">
      <c r="A59">
        <v>127</v>
      </c>
      <c r="B59">
        <v>150</v>
      </c>
    </row>
    <row r="60" spans="1:2" x14ac:dyDescent="0.35">
      <c r="A60">
        <v>127</v>
      </c>
      <c r="B60">
        <v>151</v>
      </c>
    </row>
    <row r="61" spans="1:2" x14ac:dyDescent="0.35">
      <c r="A61">
        <v>128</v>
      </c>
      <c r="B61">
        <v>61</v>
      </c>
    </row>
    <row r="62" spans="1:2" x14ac:dyDescent="0.35">
      <c r="A62">
        <v>128</v>
      </c>
      <c r="B62">
        <v>152</v>
      </c>
    </row>
    <row r="63" spans="1:2" x14ac:dyDescent="0.35">
      <c r="A63">
        <v>129</v>
      </c>
      <c r="B63">
        <v>51</v>
      </c>
    </row>
    <row r="64" spans="1:2" x14ac:dyDescent="0.35">
      <c r="A64">
        <v>129</v>
      </c>
      <c r="B64">
        <v>153</v>
      </c>
    </row>
    <row r="65" spans="1:2" x14ac:dyDescent="0.35">
      <c r="A65">
        <v>130</v>
      </c>
      <c r="B65">
        <v>61</v>
      </c>
    </row>
    <row r="66" spans="1:2" x14ac:dyDescent="0.35">
      <c r="A66">
        <v>130</v>
      </c>
      <c r="B66">
        <v>154</v>
      </c>
    </row>
    <row r="67" spans="1:2" x14ac:dyDescent="0.35">
      <c r="A67">
        <v>131</v>
      </c>
      <c r="B67">
        <v>155</v>
      </c>
    </row>
    <row r="68" spans="1:2" x14ac:dyDescent="0.35">
      <c r="A68">
        <v>131</v>
      </c>
      <c r="B68">
        <v>154</v>
      </c>
    </row>
    <row r="69" spans="1:2" x14ac:dyDescent="0.35">
      <c r="A69">
        <v>132</v>
      </c>
      <c r="B69">
        <v>156</v>
      </c>
    </row>
    <row r="70" spans="1:2" x14ac:dyDescent="0.35">
      <c r="A70">
        <v>132</v>
      </c>
      <c r="B70">
        <v>157</v>
      </c>
    </row>
    <row r="71" spans="1:2" x14ac:dyDescent="0.35">
      <c r="A71">
        <v>133</v>
      </c>
      <c r="B71">
        <v>158</v>
      </c>
    </row>
    <row r="72" spans="1:2" x14ac:dyDescent="0.35">
      <c r="A72">
        <v>133</v>
      </c>
      <c r="B72">
        <v>159</v>
      </c>
    </row>
    <row r="73" spans="1:2" x14ac:dyDescent="0.35">
      <c r="A73">
        <v>134</v>
      </c>
      <c r="B73">
        <v>160</v>
      </c>
    </row>
    <row r="74" spans="1:2" x14ac:dyDescent="0.35">
      <c r="A74">
        <v>134</v>
      </c>
      <c r="B74">
        <v>161</v>
      </c>
    </row>
    <row r="75" spans="1:2" x14ac:dyDescent="0.35">
      <c r="A75">
        <v>135</v>
      </c>
      <c r="B75">
        <v>162</v>
      </c>
    </row>
    <row r="76" spans="1:2" x14ac:dyDescent="0.35">
      <c r="A76">
        <v>135</v>
      </c>
      <c r="B76">
        <v>163</v>
      </c>
    </row>
    <row r="77" spans="1:2" x14ac:dyDescent="0.35">
      <c r="A77">
        <v>136</v>
      </c>
      <c r="B77">
        <v>164</v>
      </c>
    </row>
    <row r="78" spans="1:2" x14ac:dyDescent="0.35">
      <c r="A78">
        <v>136</v>
      </c>
      <c r="B78">
        <v>165</v>
      </c>
    </row>
    <row r="79" spans="1:2" x14ac:dyDescent="0.35">
      <c r="A79">
        <v>137</v>
      </c>
      <c r="B79">
        <v>95</v>
      </c>
    </row>
    <row r="80" spans="1:2" x14ac:dyDescent="0.35">
      <c r="A80">
        <v>137</v>
      </c>
      <c r="B80">
        <v>166</v>
      </c>
    </row>
    <row r="81" spans="1:2" x14ac:dyDescent="0.35">
      <c r="A81">
        <v>138</v>
      </c>
      <c r="B81">
        <v>95</v>
      </c>
    </row>
    <row r="82" spans="1:2" x14ac:dyDescent="0.35">
      <c r="A82">
        <v>138</v>
      </c>
      <c r="B82">
        <v>167</v>
      </c>
    </row>
    <row r="83" spans="1:2" x14ac:dyDescent="0.35">
      <c r="A83">
        <v>139</v>
      </c>
      <c r="B83">
        <v>164</v>
      </c>
    </row>
    <row r="84" spans="1:2" x14ac:dyDescent="0.35">
      <c r="A84">
        <v>139</v>
      </c>
      <c r="B84">
        <v>168</v>
      </c>
    </row>
    <row r="85" spans="1:2" x14ac:dyDescent="0.35">
      <c r="A85">
        <v>140</v>
      </c>
      <c r="B85">
        <v>169</v>
      </c>
    </row>
    <row r="86" spans="1:2" x14ac:dyDescent="0.35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92" zoomScaleNormal="160" workbookViewId="0">
      <selection activeCell="A4" sqref="A4"/>
    </sheetView>
  </sheetViews>
  <sheetFormatPr defaultRowHeight="14.5" x14ac:dyDescent="0.35"/>
  <cols>
    <col min="1" max="1" width="12.453125" customWidth="1"/>
  </cols>
  <sheetData>
    <row r="1" spans="1:2" x14ac:dyDescent="0.35">
      <c r="A1" s="2" t="s">
        <v>4</v>
      </c>
      <c r="B1" s="2" t="s">
        <v>33</v>
      </c>
    </row>
    <row r="2" spans="1:2" x14ac:dyDescent="0.35">
      <c r="A2">
        <v>1</v>
      </c>
      <c r="B2" t="s">
        <v>102</v>
      </c>
    </row>
    <row r="3" spans="1:2" x14ac:dyDescent="0.35">
      <c r="A3">
        <v>2</v>
      </c>
      <c r="B3" t="s">
        <v>103</v>
      </c>
    </row>
    <row r="4" spans="1:2" x14ac:dyDescent="0.35">
      <c r="A4">
        <v>3</v>
      </c>
      <c r="B4" t="s">
        <v>104</v>
      </c>
    </row>
    <row r="5" spans="1:2" x14ac:dyDescent="0.35">
      <c r="A5">
        <v>4</v>
      </c>
      <c r="B5" t="s">
        <v>105</v>
      </c>
    </row>
    <row r="6" spans="1:2" x14ac:dyDescent="0.35">
      <c r="A6">
        <v>5</v>
      </c>
      <c r="B6" t="s">
        <v>106</v>
      </c>
    </row>
    <row r="7" spans="1:2" x14ac:dyDescent="0.35">
      <c r="A7">
        <v>6</v>
      </c>
      <c r="B7" t="s">
        <v>107</v>
      </c>
    </row>
    <row r="8" spans="1:2" x14ac:dyDescent="0.35">
      <c r="A8">
        <v>7</v>
      </c>
      <c r="B8" t="s">
        <v>108</v>
      </c>
    </row>
    <row r="9" spans="1:2" x14ac:dyDescent="0.35">
      <c r="A9">
        <v>8</v>
      </c>
      <c r="B9" t="s">
        <v>109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3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Vulli Pavan</cp:lastModifiedBy>
  <dcterms:created xsi:type="dcterms:W3CDTF">2015-06-05T18:17:20Z</dcterms:created>
  <dcterms:modified xsi:type="dcterms:W3CDTF">2026-03-11T05:53:40Z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