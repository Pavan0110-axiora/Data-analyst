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xiora User-08\Downloads\"/>
    </mc:Choice>
  </mc:AlternateContent>
  <xr:revisionPtr revIDLastSave="0" documentId="8_{AA522CCF-C150-4A0F-9F57-78A288071DFB}" xr6:coauthVersionLast="47" xr6:coauthVersionMax="47" xr10:uidLastSave="{00000000-0000-0000-0000-000000000000}"/>
  <bookViews>
    <workbookView xWindow="-110" yWindow="-110" windowWidth="19420" windowHeight="10300" firstSheet="1" activeTab="4" xr2:uid="{00000000-000D-0000-FFFF-FFFF00000000}"/>
  </bookViews>
  <sheets>
    <sheet name="pivot tables" sheetId="5" r:id="rId1"/>
    <sheet name="dashboard" sheetId="6" r:id="rId2"/>
    <sheet name="SalesTable_1" sheetId="8" r:id="rId3"/>
    <sheet name="SalesTable" sheetId="7" r:id="rId4"/>
    <sheet name="Sales_Data" sheetId="1" r:id="rId5"/>
    <sheet name="Targets" sheetId="2" r:id="rId6"/>
    <sheet name="Product_Master" sheetId="3" r:id="rId7"/>
  </sheets>
  <definedNames>
    <definedName name="_xlcn.WorksheetConnection_Excel_Practice_Complete_Dataset.xlsxSalesTable1" hidden="1">SalesTable[]</definedName>
    <definedName name="ExternalData_1" localSheetId="3" hidden="1">SalesTable!$A$1:$AP$71</definedName>
    <definedName name="ExternalData_2" localSheetId="2" hidden="1">SalesTable_1!$A$1:$B$5</definedName>
    <definedName name="Slicer_Product">#N/A</definedName>
    <definedName name="Slicer_Region">#N/A</definedName>
  </definedNames>
  <calcPr calcId="191029" iterateDelta="1E-4"/>
  <pivotCaches>
    <pivotCache cacheId="4" r:id="rId8"/>
    <pivotCache cacheId="1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Table" name="SalesTable" connection="WorksheetConnection_Excel_Practice_Complete_Dataset.xlsx!SalesTable"/>
        </x15:modelTables>
      </x15:dataModel>
    </ext>
  </extLst>
</workbook>
</file>

<file path=xl/calcChain.xml><?xml version="1.0" encoding="utf-8"?>
<calcChain xmlns="http://schemas.openxmlformats.org/spreadsheetml/2006/main">
  <c r="AJ2" i="1" l="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K86" i="1"/>
  <c r="K85" i="1"/>
  <c r="K84" i="1"/>
  <c r="K83" i="1"/>
  <c r="AN5" i="1"/>
  <c r="AN13" i="1"/>
  <c r="AN21" i="1"/>
  <c r="AN29" i="1"/>
  <c r="AN37" i="1"/>
  <c r="AN45" i="1"/>
  <c r="AN53" i="1"/>
  <c r="AN61" i="1"/>
  <c r="AN69" i="1"/>
  <c r="AM7" i="1"/>
  <c r="AM15" i="1"/>
  <c r="AM23" i="1"/>
  <c r="AM31" i="1"/>
  <c r="AM39" i="1"/>
  <c r="AM47" i="1"/>
  <c r="AM55" i="1"/>
  <c r="AM63" i="1"/>
  <c r="AM71" i="1"/>
  <c r="AL2" i="1"/>
  <c r="AM2" i="1" s="1"/>
  <c r="AL3" i="1"/>
  <c r="AM3" i="1" s="1"/>
  <c r="AL4" i="1"/>
  <c r="AM4" i="1" s="1"/>
  <c r="AL5" i="1"/>
  <c r="AM5" i="1" s="1"/>
  <c r="AL6" i="1"/>
  <c r="AN6" i="1" s="1"/>
  <c r="AL7" i="1"/>
  <c r="AN7" i="1" s="1"/>
  <c r="AL8" i="1"/>
  <c r="AM8" i="1" s="1"/>
  <c r="AL9" i="1"/>
  <c r="AM9" i="1" s="1"/>
  <c r="AL10" i="1"/>
  <c r="AM10" i="1" s="1"/>
  <c r="AL11" i="1"/>
  <c r="AM11" i="1" s="1"/>
  <c r="AL12" i="1"/>
  <c r="AM12" i="1" s="1"/>
  <c r="AL13" i="1"/>
  <c r="AM13" i="1" s="1"/>
  <c r="AL14" i="1"/>
  <c r="AN14" i="1" s="1"/>
  <c r="AL15" i="1"/>
  <c r="AN15" i="1" s="1"/>
  <c r="AL16" i="1"/>
  <c r="AM16" i="1" s="1"/>
  <c r="AL17" i="1"/>
  <c r="AM17" i="1" s="1"/>
  <c r="AL18" i="1"/>
  <c r="AM18" i="1" s="1"/>
  <c r="AL19" i="1"/>
  <c r="AM19" i="1" s="1"/>
  <c r="AL20" i="1"/>
  <c r="AM20" i="1" s="1"/>
  <c r="AL21" i="1"/>
  <c r="AM21" i="1" s="1"/>
  <c r="AL22" i="1"/>
  <c r="AN22" i="1" s="1"/>
  <c r="AL23" i="1"/>
  <c r="AN23" i="1" s="1"/>
  <c r="AL24" i="1"/>
  <c r="AM24" i="1" s="1"/>
  <c r="AL25" i="1"/>
  <c r="AM25" i="1" s="1"/>
  <c r="AL26" i="1"/>
  <c r="AM26" i="1" s="1"/>
  <c r="AL27" i="1"/>
  <c r="AM27" i="1" s="1"/>
  <c r="AL28" i="1"/>
  <c r="AM28" i="1" s="1"/>
  <c r="AL29" i="1"/>
  <c r="AM29" i="1" s="1"/>
  <c r="AL30" i="1"/>
  <c r="AN30" i="1" s="1"/>
  <c r="AL31" i="1"/>
  <c r="AN31" i="1" s="1"/>
  <c r="AL32" i="1"/>
  <c r="AM32" i="1" s="1"/>
  <c r="AL33" i="1"/>
  <c r="AM33" i="1" s="1"/>
  <c r="AL34" i="1"/>
  <c r="AM34" i="1" s="1"/>
  <c r="AL35" i="1"/>
  <c r="AM35" i="1" s="1"/>
  <c r="AL36" i="1"/>
  <c r="AM36" i="1" s="1"/>
  <c r="AL37" i="1"/>
  <c r="AM37" i="1" s="1"/>
  <c r="AL38" i="1"/>
  <c r="AN38" i="1" s="1"/>
  <c r="AL39" i="1"/>
  <c r="AN39" i="1" s="1"/>
  <c r="AL40" i="1"/>
  <c r="AM40" i="1" s="1"/>
  <c r="AL41" i="1"/>
  <c r="AM41" i="1" s="1"/>
  <c r="AL42" i="1"/>
  <c r="AM42" i="1" s="1"/>
  <c r="AL43" i="1"/>
  <c r="AM43" i="1" s="1"/>
  <c r="AL44" i="1"/>
  <c r="AM44" i="1" s="1"/>
  <c r="AL45" i="1"/>
  <c r="AM45" i="1" s="1"/>
  <c r="AL46" i="1"/>
  <c r="AN46" i="1" s="1"/>
  <c r="AL47" i="1"/>
  <c r="AN47" i="1" s="1"/>
  <c r="AL48" i="1"/>
  <c r="AM48" i="1" s="1"/>
  <c r="AL49" i="1"/>
  <c r="AM49" i="1" s="1"/>
  <c r="AL50" i="1"/>
  <c r="AM50" i="1" s="1"/>
  <c r="AL51" i="1"/>
  <c r="AM51" i="1" s="1"/>
  <c r="AL52" i="1"/>
  <c r="AM52" i="1" s="1"/>
  <c r="AL53" i="1"/>
  <c r="AM53" i="1" s="1"/>
  <c r="AL54" i="1"/>
  <c r="AN54" i="1" s="1"/>
  <c r="AL55" i="1"/>
  <c r="AN55" i="1" s="1"/>
  <c r="AL56" i="1"/>
  <c r="AM56" i="1" s="1"/>
  <c r="AL57" i="1"/>
  <c r="AM57" i="1" s="1"/>
  <c r="AL58" i="1"/>
  <c r="AM58" i="1" s="1"/>
  <c r="AL59" i="1"/>
  <c r="AM59" i="1" s="1"/>
  <c r="AL60" i="1"/>
  <c r="AM60" i="1" s="1"/>
  <c r="AL61" i="1"/>
  <c r="AM61" i="1" s="1"/>
  <c r="AL62" i="1"/>
  <c r="AN62" i="1" s="1"/>
  <c r="AL63" i="1"/>
  <c r="AN63" i="1" s="1"/>
  <c r="AL64" i="1"/>
  <c r="AM64" i="1" s="1"/>
  <c r="AL65" i="1"/>
  <c r="AM65" i="1" s="1"/>
  <c r="AL66" i="1"/>
  <c r="AM66" i="1" s="1"/>
  <c r="AL67" i="1"/>
  <c r="AM67" i="1" s="1"/>
  <c r="AL68" i="1"/>
  <c r="AM68" i="1" s="1"/>
  <c r="AL69" i="1"/>
  <c r="AM69" i="1" s="1"/>
  <c r="AL70" i="1"/>
  <c r="AN70" i="1" s="1"/>
  <c r="AL71" i="1"/>
  <c r="AN71" i="1" s="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U2" i="1"/>
  <c r="W2" i="1" s="1"/>
  <c r="U3" i="1"/>
  <c r="W3" i="1" s="1"/>
  <c r="U4" i="1"/>
  <c r="W4" i="1" s="1"/>
  <c r="U5" i="1"/>
  <c r="W5" i="1" s="1"/>
  <c r="U6" i="1"/>
  <c r="W6" i="1" s="1"/>
  <c r="U7" i="1"/>
  <c r="W7" i="1" s="1"/>
  <c r="U8" i="1"/>
  <c r="X8" i="1" s="1"/>
  <c r="U9" i="1"/>
  <c r="W9" i="1" s="1"/>
  <c r="U10" i="1"/>
  <c r="W10" i="1" s="1"/>
  <c r="U11" i="1"/>
  <c r="W11" i="1" s="1"/>
  <c r="U12" i="1"/>
  <c r="W12" i="1" s="1"/>
  <c r="U13" i="1"/>
  <c r="W13" i="1" s="1"/>
  <c r="U14" i="1"/>
  <c r="W14" i="1" s="1"/>
  <c r="U15" i="1"/>
  <c r="W15" i="1" s="1"/>
  <c r="U16" i="1"/>
  <c r="W16" i="1" s="1"/>
  <c r="U17" i="1"/>
  <c r="W17" i="1" s="1"/>
  <c r="U18" i="1"/>
  <c r="W18" i="1" s="1"/>
  <c r="U19" i="1"/>
  <c r="W19" i="1" s="1"/>
  <c r="U20" i="1"/>
  <c r="W20" i="1" s="1"/>
  <c r="U21" i="1"/>
  <c r="W21" i="1" s="1"/>
  <c r="U22" i="1"/>
  <c r="W22" i="1" s="1"/>
  <c r="U23" i="1"/>
  <c r="W23" i="1" s="1"/>
  <c r="U24" i="1"/>
  <c r="W24" i="1" s="1"/>
  <c r="U25" i="1"/>
  <c r="X25" i="1" s="1"/>
  <c r="U26" i="1"/>
  <c r="W26" i="1" s="1"/>
  <c r="U27" i="1"/>
  <c r="W27" i="1" s="1"/>
  <c r="U28" i="1"/>
  <c r="W28" i="1" s="1"/>
  <c r="U29" i="1"/>
  <c r="W29" i="1" s="1"/>
  <c r="U30" i="1"/>
  <c r="W30" i="1" s="1"/>
  <c r="U31" i="1"/>
  <c r="W31" i="1" s="1"/>
  <c r="U32" i="1"/>
  <c r="W32" i="1" s="1"/>
  <c r="U33" i="1"/>
  <c r="W33" i="1" s="1"/>
  <c r="U34" i="1"/>
  <c r="W34" i="1" s="1"/>
  <c r="U35" i="1"/>
  <c r="W35" i="1" s="1"/>
  <c r="U36" i="1"/>
  <c r="W36" i="1" s="1"/>
  <c r="U37" i="1"/>
  <c r="W37" i="1" s="1"/>
  <c r="U38" i="1"/>
  <c r="W38" i="1" s="1"/>
  <c r="U39" i="1"/>
  <c r="W39" i="1" s="1"/>
  <c r="U40" i="1"/>
  <c r="W40" i="1" s="1"/>
  <c r="U41" i="1"/>
  <c r="X41" i="1" s="1"/>
  <c r="U42" i="1"/>
  <c r="W42" i="1" s="1"/>
  <c r="U43" i="1"/>
  <c r="W43" i="1" s="1"/>
  <c r="U44" i="1"/>
  <c r="W44" i="1" s="1"/>
  <c r="U45" i="1"/>
  <c r="W45" i="1" s="1"/>
  <c r="U46" i="1"/>
  <c r="X46" i="1" s="1"/>
  <c r="U47" i="1"/>
  <c r="W47" i="1" s="1"/>
  <c r="U48" i="1"/>
  <c r="W48" i="1" s="1"/>
  <c r="U49" i="1"/>
  <c r="W49" i="1" s="1"/>
  <c r="U50" i="1"/>
  <c r="W50" i="1" s="1"/>
  <c r="U51" i="1"/>
  <c r="W51" i="1" s="1"/>
  <c r="U52" i="1"/>
  <c r="W52" i="1" s="1"/>
  <c r="U53" i="1"/>
  <c r="W53" i="1" s="1"/>
  <c r="U54" i="1"/>
  <c r="W54" i="1" s="1"/>
  <c r="U55" i="1"/>
  <c r="W55" i="1" s="1"/>
  <c r="U56" i="1"/>
  <c r="W56" i="1" s="1"/>
  <c r="U57" i="1"/>
  <c r="W57" i="1" s="1"/>
  <c r="U58" i="1"/>
  <c r="W58" i="1" s="1"/>
  <c r="U59" i="1"/>
  <c r="W59" i="1" s="1"/>
  <c r="U60" i="1"/>
  <c r="W60" i="1" s="1"/>
  <c r="U61" i="1"/>
  <c r="W61" i="1" s="1"/>
  <c r="U62" i="1"/>
  <c r="X62" i="1" s="1"/>
  <c r="U63" i="1"/>
  <c r="W63" i="1" s="1"/>
  <c r="U64" i="1"/>
  <c r="W64" i="1" s="1"/>
  <c r="U65" i="1"/>
  <c r="W65" i="1" s="1"/>
  <c r="U66" i="1"/>
  <c r="W66" i="1" s="1"/>
  <c r="U67" i="1"/>
  <c r="W67" i="1" s="1"/>
  <c r="U68" i="1"/>
  <c r="W68" i="1" s="1"/>
  <c r="U69" i="1"/>
  <c r="W69" i="1" s="1"/>
  <c r="U70" i="1"/>
  <c r="W70" i="1" s="1"/>
  <c r="U71" i="1"/>
  <c r="W71"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O78" i="1"/>
  <c r="O75" i="1"/>
  <c r="O76" i="1"/>
  <c r="K81" i="1"/>
  <c r="K80" i="1"/>
  <c r="K79" i="1"/>
  <c r="K78" i="1"/>
  <c r="K77" i="1"/>
  <c r="K76" i="1"/>
  <c r="K75" i="1"/>
  <c r="K74" i="1"/>
  <c r="AM70" i="1" l="1"/>
  <c r="AM62" i="1"/>
  <c r="AM54" i="1"/>
  <c r="AM46" i="1"/>
  <c r="AM38" i="1"/>
  <c r="AM30" i="1"/>
  <c r="AM22" i="1"/>
  <c r="AM14" i="1"/>
  <c r="AM6" i="1"/>
  <c r="AN68" i="1"/>
  <c r="AN60" i="1"/>
  <c r="AN52" i="1"/>
  <c r="AN44" i="1"/>
  <c r="AN36" i="1"/>
  <c r="AN28" i="1"/>
  <c r="AN20" i="1"/>
  <c r="AN12" i="1"/>
  <c r="AN4" i="1"/>
  <c r="AN67" i="1"/>
  <c r="AN59" i="1"/>
  <c r="AN51" i="1"/>
  <c r="AN43" i="1"/>
  <c r="AN35" i="1"/>
  <c r="AN27" i="1"/>
  <c r="AN19" i="1"/>
  <c r="AN11" i="1"/>
  <c r="AN3" i="1"/>
  <c r="AN66" i="1"/>
  <c r="AN58" i="1"/>
  <c r="AN50" i="1"/>
  <c r="AN42" i="1"/>
  <c r="AN34" i="1"/>
  <c r="AN26" i="1"/>
  <c r="AN18" i="1"/>
  <c r="AN10" i="1"/>
  <c r="AN2" i="1"/>
  <c r="AN65" i="1"/>
  <c r="AN57" i="1"/>
  <c r="AN49" i="1"/>
  <c r="AN41" i="1"/>
  <c r="AN33" i="1"/>
  <c r="AN25" i="1"/>
  <c r="AN17" i="1"/>
  <c r="AN9" i="1"/>
  <c r="AN64" i="1"/>
  <c r="AN56" i="1"/>
  <c r="AN48" i="1"/>
  <c r="AN40" i="1"/>
  <c r="AN32" i="1"/>
  <c r="AN24" i="1"/>
  <c r="AN16" i="1"/>
  <c r="AN8" i="1"/>
  <c r="Y8" i="1"/>
  <c r="AC8" i="1" s="1"/>
  <c r="AA16" i="1"/>
  <c r="AA8" i="1"/>
  <c r="AA64" i="1"/>
  <c r="AA56" i="1"/>
  <c r="AA48" i="1"/>
  <c r="AA40" i="1"/>
  <c r="AA32" i="1"/>
  <c r="AA24" i="1"/>
  <c r="Y40" i="1"/>
  <c r="AA65" i="1"/>
  <c r="AA57" i="1"/>
  <c r="AA49" i="1"/>
  <c r="AA41" i="1"/>
  <c r="AA33" i="1"/>
  <c r="AA25" i="1"/>
  <c r="AA17" i="1"/>
  <c r="AA9" i="1"/>
  <c r="AA71" i="1"/>
  <c r="AA63" i="1"/>
  <c r="AA55" i="1"/>
  <c r="AA47" i="1"/>
  <c r="AA39" i="1"/>
  <c r="AA31" i="1"/>
  <c r="AA23" i="1"/>
  <c r="AA15" i="1"/>
  <c r="AA7" i="1"/>
  <c r="AA70" i="1"/>
  <c r="AA62" i="1"/>
  <c r="AA54" i="1"/>
  <c r="AA46" i="1"/>
  <c r="AA38" i="1"/>
  <c r="AA30" i="1"/>
  <c r="AA22" i="1"/>
  <c r="AA14" i="1"/>
  <c r="AA6" i="1"/>
  <c r="AA69" i="1"/>
  <c r="AA61" i="1"/>
  <c r="AA53" i="1"/>
  <c r="AA45" i="1"/>
  <c r="AA37" i="1"/>
  <c r="AA29" i="1"/>
  <c r="AA21" i="1"/>
  <c r="AA13" i="1"/>
  <c r="AA5" i="1"/>
  <c r="AA68" i="1"/>
  <c r="AA60" i="1"/>
  <c r="AA52" i="1"/>
  <c r="AA44" i="1"/>
  <c r="AA36" i="1"/>
  <c r="AA28" i="1"/>
  <c r="AA20" i="1"/>
  <c r="AA12" i="1"/>
  <c r="AA4" i="1"/>
  <c r="AA67" i="1"/>
  <c r="AA59" i="1"/>
  <c r="AA51" i="1"/>
  <c r="AA43" i="1"/>
  <c r="AA35" i="1"/>
  <c r="AA27" i="1"/>
  <c r="AA19" i="1"/>
  <c r="AA11" i="1"/>
  <c r="AA3" i="1"/>
  <c r="X16" i="1"/>
  <c r="Z16" i="1" s="1"/>
  <c r="AA66" i="1"/>
  <c r="AA58" i="1"/>
  <c r="AA50" i="1"/>
  <c r="AA42" i="1"/>
  <c r="AA34" i="1"/>
  <c r="AA26" i="1"/>
  <c r="AA18" i="1"/>
  <c r="AA10" i="1"/>
  <c r="AA2" i="1"/>
  <c r="X48" i="1"/>
  <c r="Z48" i="1" s="1"/>
  <c r="Y41" i="1"/>
  <c r="Y9" i="1"/>
  <c r="Y65" i="1"/>
  <c r="Y33" i="1"/>
  <c r="Y64" i="1"/>
  <c r="Y32" i="1"/>
  <c r="Y57" i="1"/>
  <c r="Y25" i="1"/>
  <c r="Y56" i="1"/>
  <c r="Y24" i="1"/>
  <c r="Y49" i="1"/>
  <c r="Y17" i="1"/>
  <c r="W41" i="1"/>
  <c r="Z41" i="1" s="1"/>
  <c r="Y48" i="1"/>
  <c r="Y16" i="1"/>
  <c r="W8" i="1"/>
  <c r="Z8" i="1" s="1"/>
  <c r="X40" i="1"/>
  <c r="Z40" i="1" s="1"/>
  <c r="Y71" i="1"/>
  <c r="Y63" i="1"/>
  <c r="Y55" i="1"/>
  <c r="Y47" i="1"/>
  <c r="Y39" i="1"/>
  <c r="Y31" i="1"/>
  <c r="Y23" i="1"/>
  <c r="Y15" i="1"/>
  <c r="Y7" i="1"/>
  <c r="X65" i="1"/>
  <c r="Z65" i="1" s="1"/>
  <c r="X33" i="1"/>
  <c r="Z33" i="1" s="1"/>
  <c r="Y70" i="1"/>
  <c r="Y62" i="1"/>
  <c r="Y54" i="1"/>
  <c r="Y46" i="1"/>
  <c r="Y38" i="1"/>
  <c r="Y30" i="1"/>
  <c r="Y22" i="1"/>
  <c r="Y14" i="1"/>
  <c r="Y6" i="1"/>
  <c r="X64" i="1"/>
  <c r="Z64" i="1" s="1"/>
  <c r="X32" i="1"/>
  <c r="Z32" i="1" s="1"/>
  <c r="Y69" i="1"/>
  <c r="Y61" i="1"/>
  <c r="Y53" i="1"/>
  <c r="Y45" i="1"/>
  <c r="Y37" i="1"/>
  <c r="Y29" i="1"/>
  <c r="Y21" i="1"/>
  <c r="Y13" i="1"/>
  <c r="Y5" i="1"/>
  <c r="W25" i="1"/>
  <c r="Z25" i="1" s="1"/>
  <c r="X57" i="1"/>
  <c r="Z57" i="1" s="1"/>
  <c r="Y68" i="1"/>
  <c r="Y60" i="1"/>
  <c r="AC60" i="1" s="1"/>
  <c r="Y52" i="1"/>
  <c r="AC52" i="1" s="1"/>
  <c r="Y44" i="1"/>
  <c r="Y36" i="1"/>
  <c r="Y28" i="1"/>
  <c r="Y20" i="1"/>
  <c r="Y12" i="1"/>
  <c r="Y4" i="1"/>
  <c r="X56" i="1"/>
  <c r="Z56" i="1" s="1"/>
  <c r="X24" i="1"/>
  <c r="Z24" i="1" s="1"/>
  <c r="Y67" i="1"/>
  <c r="Y59" i="1"/>
  <c r="Y51" i="1"/>
  <c r="Y43" i="1"/>
  <c r="Y35" i="1"/>
  <c r="Y27" i="1"/>
  <c r="Y19" i="1"/>
  <c r="Y11" i="1"/>
  <c r="Y3" i="1"/>
  <c r="X9" i="1"/>
  <c r="Z9" i="1" s="1"/>
  <c r="X49" i="1"/>
  <c r="Z49" i="1" s="1"/>
  <c r="X17" i="1"/>
  <c r="Z17" i="1" s="1"/>
  <c r="Y66" i="1"/>
  <c r="Y58" i="1"/>
  <c r="AC58" i="1" s="1"/>
  <c r="Y50" i="1"/>
  <c r="AC50" i="1" s="1"/>
  <c r="Y42" i="1"/>
  <c r="Y34" i="1"/>
  <c r="Y26" i="1"/>
  <c r="Y18" i="1"/>
  <c r="Y10" i="1"/>
  <c r="Y2" i="1"/>
  <c r="W62" i="1"/>
  <c r="Z62" i="1" s="1"/>
  <c r="X71" i="1"/>
  <c r="Z71" i="1" s="1"/>
  <c r="X63" i="1"/>
  <c r="Z63" i="1" s="1"/>
  <c r="X55" i="1"/>
  <c r="Z55" i="1" s="1"/>
  <c r="X47" i="1"/>
  <c r="Z47" i="1" s="1"/>
  <c r="X39" i="1"/>
  <c r="Z39" i="1" s="1"/>
  <c r="X31" i="1"/>
  <c r="Z31" i="1" s="1"/>
  <c r="X23" i="1"/>
  <c r="Z23" i="1" s="1"/>
  <c r="X15" i="1"/>
  <c r="Z15" i="1" s="1"/>
  <c r="X7" i="1"/>
  <c r="Z7" i="1" s="1"/>
  <c r="W46" i="1"/>
  <c r="Z46" i="1" s="1"/>
  <c r="X70" i="1"/>
  <c r="Z70" i="1" s="1"/>
  <c r="X54" i="1"/>
  <c r="Z54" i="1" s="1"/>
  <c r="X38" i="1"/>
  <c r="Z38" i="1" s="1"/>
  <c r="X30" i="1"/>
  <c r="Z30" i="1" s="1"/>
  <c r="X22" i="1"/>
  <c r="Z22" i="1" s="1"/>
  <c r="X14" i="1"/>
  <c r="Z14" i="1" s="1"/>
  <c r="X6" i="1"/>
  <c r="Z6" i="1" s="1"/>
  <c r="X69" i="1"/>
  <c r="Z69" i="1" s="1"/>
  <c r="X61" i="1"/>
  <c r="Z61" i="1" s="1"/>
  <c r="X53" i="1"/>
  <c r="Z53" i="1" s="1"/>
  <c r="X45" i="1"/>
  <c r="Z45" i="1" s="1"/>
  <c r="X37" i="1"/>
  <c r="Z37" i="1" s="1"/>
  <c r="X29" i="1"/>
  <c r="Z29" i="1" s="1"/>
  <c r="X21" i="1"/>
  <c r="Z21" i="1" s="1"/>
  <c r="X13" i="1"/>
  <c r="Z13" i="1" s="1"/>
  <c r="X5" i="1"/>
  <c r="Z5" i="1" s="1"/>
  <c r="X68" i="1"/>
  <c r="Z68" i="1" s="1"/>
  <c r="X60" i="1"/>
  <c r="Z60" i="1" s="1"/>
  <c r="X52" i="1"/>
  <c r="Z52" i="1" s="1"/>
  <c r="X44" i="1"/>
  <c r="Z44" i="1" s="1"/>
  <c r="X36" i="1"/>
  <c r="Z36" i="1" s="1"/>
  <c r="X28" i="1"/>
  <c r="Z28" i="1" s="1"/>
  <c r="X20" i="1"/>
  <c r="Z20" i="1" s="1"/>
  <c r="X12" i="1"/>
  <c r="Z12" i="1" s="1"/>
  <c r="X4" i="1"/>
  <c r="Z4" i="1" s="1"/>
  <c r="X67" i="1"/>
  <c r="Z67" i="1" s="1"/>
  <c r="X59" i="1"/>
  <c r="Z59" i="1" s="1"/>
  <c r="X51" i="1"/>
  <c r="Z51" i="1" s="1"/>
  <c r="X43" i="1"/>
  <c r="Z43" i="1" s="1"/>
  <c r="X35" i="1"/>
  <c r="Z35" i="1" s="1"/>
  <c r="X27" i="1"/>
  <c r="Z27" i="1" s="1"/>
  <c r="X19" i="1"/>
  <c r="Z19" i="1" s="1"/>
  <c r="X11" i="1"/>
  <c r="Z11" i="1" s="1"/>
  <c r="X3" i="1"/>
  <c r="Z3" i="1" s="1"/>
  <c r="X66" i="1"/>
  <c r="Z66" i="1" s="1"/>
  <c r="X58" i="1"/>
  <c r="Z58" i="1" s="1"/>
  <c r="X50" i="1"/>
  <c r="Z50" i="1" s="1"/>
  <c r="X42" i="1"/>
  <c r="Z42" i="1" s="1"/>
  <c r="X34" i="1"/>
  <c r="Z34" i="1" s="1"/>
  <c r="X26" i="1"/>
  <c r="Z26" i="1" s="1"/>
  <c r="X18" i="1"/>
  <c r="Z18" i="1" s="1"/>
  <c r="X10" i="1"/>
  <c r="Z10" i="1" s="1"/>
  <c r="X2" i="1"/>
  <c r="Z2" i="1" s="1"/>
  <c r="AD8" i="1" l="1"/>
  <c r="AD50" i="1"/>
  <c r="AD19" i="1"/>
  <c r="AD14" i="1"/>
  <c r="AC13" i="1"/>
  <c r="AD13" i="1"/>
  <c r="AC31" i="1"/>
  <c r="AD31" i="1"/>
  <c r="AC67" i="1"/>
  <c r="AD67" i="1"/>
  <c r="AC39" i="1"/>
  <c r="AD39" i="1"/>
  <c r="AC48" i="1"/>
  <c r="AD48" i="1"/>
  <c r="AC57" i="1"/>
  <c r="AD57" i="1"/>
  <c r="AC3" i="1"/>
  <c r="AD3" i="1"/>
  <c r="AC44" i="1"/>
  <c r="AD44" i="1"/>
  <c r="AC21" i="1"/>
  <c r="AD21" i="1"/>
  <c r="AC62" i="1"/>
  <c r="AD62" i="1"/>
  <c r="AC32" i="1"/>
  <c r="AD32" i="1"/>
  <c r="AD42" i="1"/>
  <c r="AD11" i="1"/>
  <c r="AD52" i="1"/>
  <c r="AC29" i="1"/>
  <c r="AD29" i="1"/>
  <c r="AD6" i="1"/>
  <c r="AD70" i="1"/>
  <c r="AC47" i="1"/>
  <c r="AD47" i="1"/>
  <c r="AC64" i="1"/>
  <c r="AD64" i="1"/>
  <c r="AC11" i="1"/>
  <c r="AC70" i="1"/>
  <c r="AC26" i="1"/>
  <c r="AD26" i="1"/>
  <c r="AC16" i="1"/>
  <c r="AD16" i="1"/>
  <c r="AD33" i="1"/>
  <c r="AC19" i="1"/>
  <c r="AD58" i="1"/>
  <c r="AD27" i="1"/>
  <c r="AC4" i="1"/>
  <c r="AD4" i="1"/>
  <c r="AC68" i="1"/>
  <c r="AD68" i="1"/>
  <c r="AC45" i="1"/>
  <c r="AD45" i="1"/>
  <c r="AD22" i="1"/>
  <c r="AC63" i="1"/>
  <c r="AD63" i="1"/>
  <c r="AC49" i="1"/>
  <c r="AD49" i="1"/>
  <c r="AC65" i="1"/>
  <c r="AD65" i="1"/>
  <c r="AC27" i="1"/>
  <c r="AC6" i="1"/>
  <c r="AC17" i="1"/>
  <c r="AD17" i="1"/>
  <c r="AC33" i="1"/>
  <c r="AC2" i="1"/>
  <c r="AD2" i="1"/>
  <c r="AC66" i="1"/>
  <c r="AD66" i="1"/>
  <c r="AD35" i="1"/>
  <c r="AD12" i="1"/>
  <c r="AC53" i="1"/>
  <c r="AD53" i="1"/>
  <c r="AC30" i="1"/>
  <c r="AD30" i="1"/>
  <c r="AC7" i="1"/>
  <c r="AD7" i="1"/>
  <c r="AC71" i="1"/>
  <c r="AD71" i="1"/>
  <c r="AC24" i="1"/>
  <c r="AD24" i="1"/>
  <c r="AC9" i="1"/>
  <c r="AD9" i="1"/>
  <c r="AC35" i="1"/>
  <c r="AC14" i="1"/>
  <c r="AC36" i="1"/>
  <c r="AD36" i="1"/>
  <c r="AC54" i="1"/>
  <c r="AD54" i="1"/>
  <c r="AD60" i="1"/>
  <c r="AC37" i="1"/>
  <c r="AD37" i="1"/>
  <c r="AC55" i="1"/>
  <c r="AD55" i="1"/>
  <c r="AC10" i="1"/>
  <c r="AD10" i="1"/>
  <c r="AC43" i="1"/>
  <c r="AD43" i="1"/>
  <c r="AD20" i="1"/>
  <c r="AC61" i="1"/>
  <c r="AD61" i="1"/>
  <c r="AC38" i="1"/>
  <c r="AD38" i="1"/>
  <c r="AC15" i="1"/>
  <c r="AD15" i="1"/>
  <c r="AC56" i="1"/>
  <c r="AD56" i="1"/>
  <c r="AC41" i="1"/>
  <c r="AD41" i="1"/>
  <c r="AC12" i="1"/>
  <c r="AC22" i="1"/>
  <c r="AC59" i="1"/>
  <c r="AD59" i="1"/>
  <c r="AC34" i="1"/>
  <c r="AD34" i="1"/>
  <c r="AC18" i="1"/>
  <c r="AD18" i="1"/>
  <c r="AC51" i="1"/>
  <c r="AD51" i="1"/>
  <c r="AC28" i="1"/>
  <c r="AD28" i="1"/>
  <c r="AC5" i="1"/>
  <c r="AD5" i="1"/>
  <c r="AC69" i="1"/>
  <c r="AD69" i="1"/>
  <c r="AC46" i="1"/>
  <c r="AD46" i="1"/>
  <c r="AC23" i="1"/>
  <c r="AD23" i="1"/>
  <c r="AC25" i="1"/>
  <c r="AD25" i="1"/>
  <c r="AC40" i="1"/>
  <c r="AD40" i="1"/>
  <c r="AC42" i="1"/>
  <c r="AC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D69BA9-A57B-4981-B0C6-CC1211100FF9}" keepAlive="1" name="Query - SalesTable" description="Connection to the 'SalesTable' query in the workbook." type="5" refreshedVersion="8" background="1" saveData="1">
    <dbPr connection="Provider=Microsoft.Mashup.OleDb.1;Data Source=$Workbook$;Location=SalesTable;Extended Properties=&quot;&quot;" command="SELECT * FROM [SalesTable]"/>
  </connection>
  <connection id="2" xr16:uid="{FB9BE05A-9BE4-49EF-A0C7-7E2285867D4E}" keepAlive="1" name="Query - SalesTable_1" description="Connection to the 'SalesTable_1' query in the workbook." type="5" refreshedVersion="8" background="1" saveData="1">
    <dbPr connection="Provider=Microsoft.Mashup.OleDb.1;Data Source=$Workbook$;Location=SalesTable_1;Extended Properties=&quot;&quot;" command="SELECT * FROM [SalesTable_1]"/>
  </connection>
  <connection id="3" xr16:uid="{1F5750F9-6405-4369-802E-E5F7FE05CE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68D66C7-0CCC-49F7-A306-4C706058A673}" name="WorksheetConnection_Excel_Practice_Complete_Dataset.xlsx!SalesTable" type="102" refreshedVersion="8" minRefreshableVersion="5">
    <extLst>
      <ext xmlns:x15="http://schemas.microsoft.com/office/spreadsheetml/2010/11/main" uri="{DE250136-89BD-433C-8126-D09CA5730AF9}">
        <x15:connection id="SalesTable" autoDelete="1">
          <x15:rangePr sourceName="_xlcn.WorksheetConnection_Excel_Practice_Complete_Dataset.xlsxSalesTable1"/>
        </x15:connection>
      </ext>
    </extLst>
  </connection>
</connections>
</file>

<file path=xl/sharedStrings.xml><?xml version="1.0" encoding="utf-8"?>
<sst xmlns="http://schemas.openxmlformats.org/spreadsheetml/2006/main" count="1928" uniqueCount="177">
  <si>
    <t>OrderID</t>
  </si>
  <si>
    <t>OrderDate</t>
  </si>
  <si>
    <t>Region</t>
  </si>
  <si>
    <t>Salesperson</t>
  </si>
  <si>
    <t>Category</t>
  </si>
  <si>
    <t>Product</t>
  </si>
  <si>
    <t>Segment</t>
  </si>
  <si>
    <t>Quantity</t>
  </si>
  <si>
    <t>UnitPrice</t>
  </si>
  <si>
    <t>Discount%</t>
  </si>
  <si>
    <t>SalesAmount</t>
  </si>
  <si>
    <t>Cost</t>
  </si>
  <si>
    <t>Profit</t>
  </si>
  <si>
    <t>PaymentMode</t>
  </si>
  <si>
    <t>Status</t>
  </si>
  <si>
    <t>13-02-2025</t>
  </si>
  <si>
    <t>South</t>
  </si>
  <si>
    <t>Priya</t>
  </si>
  <si>
    <t>Furniture</t>
  </si>
  <si>
    <t>Chair</t>
  </si>
  <si>
    <t>Corporate</t>
  </si>
  <si>
    <t>EMI</t>
  </si>
  <si>
    <t>Delivered</t>
  </si>
  <si>
    <t>28-02-2025</t>
  </si>
  <si>
    <t>West</t>
  </si>
  <si>
    <t>Amit</t>
  </si>
  <si>
    <t>Electronics</t>
  </si>
  <si>
    <t>Tablet</t>
  </si>
  <si>
    <t>Home Office</t>
  </si>
  <si>
    <t>Cash</t>
  </si>
  <si>
    <t>Cancelled</t>
  </si>
  <si>
    <t>23-02-2025</t>
  </si>
  <si>
    <t>East</t>
  </si>
  <si>
    <t>Mobile</t>
  </si>
  <si>
    <t>10-02-2025</t>
  </si>
  <si>
    <t>North</t>
  </si>
  <si>
    <t>Cupboard</t>
  </si>
  <si>
    <t>01-03-2025</t>
  </si>
  <si>
    <t>Sofa</t>
  </si>
  <si>
    <t>UPI</t>
  </si>
  <si>
    <t>Pending</t>
  </si>
  <si>
    <t>22-01-2025</t>
  </si>
  <si>
    <t>Sneha</t>
  </si>
  <si>
    <t>Table</t>
  </si>
  <si>
    <t>Card</t>
  </si>
  <si>
    <t>18-01-2025</t>
  </si>
  <si>
    <t>Office Supplies</t>
  </si>
  <si>
    <t>Pen Pack</t>
  </si>
  <si>
    <t>03-01-2025</t>
  </si>
  <si>
    <t>Printer Paper</t>
  </si>
  <si>
    <t>Laptop</t>
  </si>
  <si>
    <t>28-01-2025</t>
  </si>
  <si>
    <t>Consumer</t>
  </si>
  <si>
    <t>02-01-2025</t>
  </si>
  <si>
    <t>Rahul</t>
  </si>
  <si>
    <t>06-02-2025</t>
  </si>
  <si>
    <t>03-02-2025</t>
  </si>
  <si>
    <t>25-02-2025</t>
  </si>
  <si>
    <t>23-01-2025</t>
  </si>
  <si>
    <t>Headphones</t>
  </si>
  <si>
    <t>05-01-2025</t>
  </si>
  <si>
    <t>13-01-2025</t>
  </si>
  <si>
    <t>08-02-2025</t>
  </si>
  <si>
    <t>17-02-2025</t>
  </si>
  <si>
    <t>18-02-2025</t>
  </si>
  <si>
    <t>16-01-2025</t>
  </si>
  <si>
    <t>01-01-2025</t>
  </si>
  <si>
    <t>04-01-2025</t>
  </si>
  <si>
    <t>02-02-2025</t>
  </si>
  <si>
    <t>15-01-2025</t>
  </si>
  <si>
    <t>04-02-2025</t>
  </si>
  <si>
    <t>14-02-2025</t>
  </si>
  <si>
    <t>Notebook</t>
  </si>
  <si>
    <t>15-02-2025</t>
  </si>
  <si>
    <t>27-01-2025</t>
  </si>
  <si>
    <t>31-01-2025</t>
  </si>
  <si>
    <t>26-01-2025</t>
  </si>
  <si>
    <t>11-01-2025</t>
  </si>
  <si>
    <t>10-01-2025</t>
  </si>
  <si>
    <t>12-01-2025</t>
  </si>
  <si>
    <t>07-01-2025</t>
  </si>
  <si>
    <t>29-01-2025</t>
  </si>
  <si>
    <t>09-01-2025</t>
  </si>
  <si>
    <t>16-02-2025</t>
  </si>
  <si>
    <t>05-02-2025</t>
  </si>
  <si>
    <t>20-02-2025</t>
  </si>
  <si>
    <t>02-03-2025</t>
  </si>
  <si>
    <t>MonthlyTarget</t>
  </si>
  <si>
    <t>StandardCost</t>
  </si>
  <si>
    <t>sum</t>
  </si>
  <si>
    <t xml:space="preserve">average </t>
  </si>
  <si>
    <t>count</t>
  </si>
  <si>
    <t>count A</t>
  </si>
  <si>
    <t>countifs</t>
  </si>
  <si>
    <t xml:space="preserve">count if </t>
  </si>
  <si>
    <t>sumif</t>
  </si>
  <si>
    <t>sumifs</t>
  </si>
  <si>
    <t>xlookup</t>
  </si>
  <si>
    <t>vlookup</t>
  </si>
  <si>
    <t>hlookup</t>
  </si>
  <si>
    <t>mobile</t>
  </si>
  <si>
    <t xml:space="preserve">not fn </t>
  </si>
  <si>
    <t>iferror</t>
  </si>
  <si>
    <t>if fn</t>
  </si>
  <si>
    <t>And fn</t>
  </si>
  <si>
    <t>or fn</t>
  </si>
  <si>
    <t>index &amp; match</t>
  </si>
  <si>
    <t xml:space="preserve">uppercase </t>
  </si>
  <si>
    <t>lowercase</t>
  </si>
  <si>
    <t xml:space="preserve">left fn </t>
  </si>
  <si>
    <t>right</t>
  </si>
  <si>
    <t>middle</t>
  </si>
  <si>
    <t xml:space="preserve">concatenate </t>
  </si>
  <si>
    <t>length</t>
  </si>
  <si>
    <t xml:space="preserve">trim </t>
  </si>
  <si>
    <t>textjoin</t>
  </si>
  <si>
    <t>find</t>
  </si>
  <si>
    <t xml:space="preserve">today </t>
  </si>
  <si>
    <t>now</t>
  </si>
  <si>
    <t>day of date</t>
  </si>
  <si>
    <t xml:space="preserve">month of day </t>
  </si>
  <si>
    <t>year of day</t>
  </si>
  <si>
    <t xml:space="preserve">weekday of date </t>
  </si>
  <si>
    <t xml:space="preserve">time </t>
  </si>
  <si>
    <t>hour time</t>
  </si>
  <si>
    <t>minutes</t>
  </si>
  <si>
    <t>Column1</t>
  </si>
  <si>
    <t xml:space="preserve">total sales </t>
  </si>
  <si>
    <t>total profit</t>
  </si>
  <si>
    <t>total orders</t>
  </si>
  <si>
    <t>average discount</t>
  </si>
  <si>
    <t>Row Labels</t>
  </si>
  <si>
    <t>Grand Total</t>
  </si>
  <si>
    <t>Sum of SalesAmount</t>
  </si>
  <si>
    <t>category</t>
  </si>
  <si>
    <t>region</t>
  </si>
  <si>
    <t>Sum of Profit</t>
  </si>
  <si>
    <t>month</t>
  </si>
  <si>
    <t>product</t>
  </si>
  <si>
    <t>weekday</t>
  </si>
  <si>
    <t>Friday</t>
  </si>
  <si>
    <t>Monday</t>
  </si>
  <si>
    <t>Saturday</t>
  </si>
  <si>
    <t>Sunday</t>
  </si>
  <si>
    <t>Thursday</t>
  </si>
  <si>
    <t>Tuesday</t>
  </si>
  <si>
    <t>Wednesday</t>
  </si>
  <si>
    <t>low sales</t>
  </si>
  <si>
    <t>PRIYA</t>
  </si>
  <si>
    <t>priya</t>
  </si>
  <si>
    <t>PR</t>
  </si>
  <si>
    <t>IYA</t>
  </si>
  <si>
    <t>RI</t>
  </si>
  <si>
    <t>priya-RI</t>
  </si>
  <si>
    <t>AMIT</t>
  </si>
  <si>
    <t>amit</t>
  </si>
  <si>
    <t>AM</t>
  </si>
  <si>
    <t>MIT</t>
  </si>
  <si>
    <t>MI</t>
  </si>
  <si>
    <t>AMMIT</t>
  </si>
  <si>
    <t>amit-MI</t>
  </si>
  <si>
    <t>high sales</t>
  </si>
  <si>
    <t>SNEHA</t>
  </si>
  <si>
    <t>sneha</t>
  </si>
  <si>
    <t>SN</t>
  </si>
  <si>
    <t>EHA</t>
  </si>
  <si>
    <t>NE</t>
  </si>
  <si>
    <t>sneha-NE</t>
  </si>
  <si>
    <t>RAHUL</t>
  </si>
  <si>
    <t>rahul</t>
  </si>
  <si>
    <t>RA</t>
  </si>
  <si>
    <t>HUL</t>
  </si>
  <si>
    <t>AH</t>
  </si>
  <si>
    <t>rahul-AH</t>
  </si>
  <si>
    <t>no sales</t>
  </si>
  <si>
    <t>profit margin</t>
  </si>
  <si>
    <t>group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</si>
</sst>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18"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47">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3" formatCode="h:mm\ AM/P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[Excel_Practice_Complete_Dataset and dashboard,powerquery.xlsx]pivot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a:t>
            </a:r>
            <a:r>
              <a:rPr lang="en-IN" sz="1800" b="1" baseline="0"/>
              <a:t> by region</a:t>
            </a:r>
          </a:p>
          <a:p>
            <a:pPr>
              <a:defRPr/>
            </a:pPr>
            <a:endParaRPr lang="en-IN"/>
          </a:p>
        </c:rich>
      </c:tx>
      <c:layout>
        <c:manualLayout>
          <c:xMode val="edge"/>
          <c:yMode val="edge"/>
          <c:x val="0.37034821207159219"/>
          <c:y val="5.03966553656766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6610284580381"/>
          <c:y val="0.2259371675909172"/>
          <c:w val="0.84885365214510677"/>
          <c:h val="0.59598259657243757"/>
        </c:manualLayout>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1778580</c:v>
                </c:pt>
                <c:pt idx="1">
                  <c:v>2418620</c:v>
                </c:pt>
                <c:pt idx="2">
                  <c:v>4254890</c:v>
                </c:pt>
                <c:pt idx="3">
                  <c:v>941274</c:v>
                </c:pt>
              </c:numCache>
            </c:numRef>
          </c:val>
          <c:extLst>
            <c:ext xmlns:c16="http://schemas.microsoft.com/office/drawing/2014/chart" uri="{C3380CC4-5D6E-409C-BE32-E72D297353CC}">
              <c16:uniqueId val="{00000000-2039-4AD7-A5D1-8B83507B38FF}"/>
            </c:ext>
          </c:extLst>
        </c:ser>
        <c:dLbls>
          <c:showLegendKey val="0"/>
          <c:showVal val="0"/>
          <c:showCatName val="0"/>
          <c:showSerName val="0"/>
          <c:showPercent val="0"/>
          <c:showBubbleSize val="0"/>
        </c:dLbls>
        <c:gapWidth val="219"/>
        <c:overlap val="-27"/>
        <c:axId val="554451680"/>
        <c:axId val="554452760"/>
      </c:barChart>
      <c:catAx>
        <c:axId val="5544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452760"/>
        <c:crosses val="autoZero"/>
        <c:auto val="1"/>
        <c:lblAlgn val="ctr"/>
        <c:lblOffset val="100"/>
        <c:noMultiLvlLbl val="0"/>
      </c:catAx>
      <c:valAx>
        <c:axId val="554452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4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[Excel_Practice_Complete_Dataset and dashboard,powerquery.xlsx]pivot tables!PivotTable8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layout>
        <c:manualLayout>
          <c:xMode val="edge"/>
          <c:yMode val="edge"/>
          <c:x val="0.3144634146341464"/>
          <c:y val="2.41071343830376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tables'!$F$3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86B-460C-9CC8-6A794E56332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86B-460C-9CC8-6A794E56332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86B-460C-9CC8-6A794E56332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tables'!$E$4:$E$7</c:f>
              <c:strCache>
                <c:ptCount val="3"/>
                <c:pt idx="0">
                  <c:v>Electronics</c:v>
                </c:pt>
                <c:pt idx="1">
                  <c:v>Furniture</c:v>
                </c:pt>
                <c:pt idx="2">
                  <c:v>Office Supplies</c:v>
                </c:pt>
              </c:strCache>
            </c:strRef>
          </c:cat>
          <c:val>
            <c:numRef>
              <c:f>'pivot tables'!$F$4:$F$7</c:f>
              <c:numCache>
                <c:formatCode>General</c:formatCode>
                <c:ptCount val="3"/>
                <c:pt idx="0">
                  <c:v>5210140</c:v>
                </c:pt>
                <c:pt idx="1">
                  <c:v>4131520</c:v>
                </c:pt>
                <c:pt idx="2">
                  <c:v>51704</c:v>
                </c:pt>
              </c:numCache>
            </c:numRef>
          </c:val>
          <c:extLst>
            <c:ext xmlns:c16="http://schemas.microsoft.com/office/drawing/2014/chart" uri="{C3380CC4-5D6E-409C-BE32-E72D297353CC}">
              <c16:uniqueId val="{00000006-886B-460C-9CC8-6A794E56332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[Excel_Practice_Complete_Dataset and dashboard,powerquery.xlsx]pivot tables!PivotTable9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81736657917758"/>
          <c:y val="0.18226044226044227"/>
          <c:w val="0.4972195975503062"/>
          <c:h val="0.7037431561841011"/>
        </c:manualLayout>
      </c:layout>
      <c:barChart>
        <c:barDir val="bar"/>
        <c:grouping val="cluster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tables'!$I$4:$I$15</c:f>
              <c:strCache>
                <c:ptCount val="11"/>
                <c:pt idx="0">
                  <c:v>Chair</c:v>
                </c:pt>
                <c:pt idx="1">
                  <c:v>Cupboard</c:v>
                </c:pt>
                <c:pt idx="2">
                  <c:v>Headphones</c:v>
                </c:pt>
                <c:pt idx="3">
                  <c:v>Laptop</c:v>
                </c:pt>
                <c:pt idx="4">
                  <c:v>Mobile</c:v>
                </c:pt>
                <c:pt idx="5">
                  <c:v>Notebook</c:v>
                </c:pt>
                <c:pt idx="6">
                  <c:v>Pen Pack</c:v>
                </c:pt>
                <c:pt idx="7">
                  <c:v>Printer Paper</c:v>
                </c:pt>
                <c:pt idx="8">
                  <c:v>Sofa</c:v>
                </c:pt>
                <c:pt idx="9">
                  <c:v>Table</c:v>
                </c:pt>
                <c:pt idx="10">
                  <c:v>Tablet</c:v>
                </c:pt>
              </c:strCache>
            </c:strRef>
          </c:cat>
          <c:val>
            <c:numRef>
              <c:f>'pivot tables'!$J$4:$J$15</c:f>
              <c:numCache>
                <c:formatCode>General</c:formatCode>
                <c:ptCount val="11"/>
                <c:pt idx="0">
                  <c:v>102240</c:v>
                </c:pt>
                <c:pt idx="1">
                  <c:v>266250</c:v>
                </c:pt>
                <c:pt idx="2">
                  <c:v>27140</c:v>
                </c:pt>
                <c:pt idx="3">
                  <c:v>13700</c:v>
                </c:pt>
                <c:pt idx="4">
                  <c:v>398200</c:v>
                </c:pt>
                <c:pt idx="5">
                  <c:v>2500</c:v>
                </c:pt>
                <c:pt idx="6">
                  <c:v>2706</c:v>
                </c:pt>
                <c:pt idx="7">
                  <c:v>10380</c:v>
                </c:pt>
                <c:pt idx="8">
                  <c:v>543150</c:v>
                </c:pt>
                <c:pt idx="9">
                  <c:v>130880</c:v>
                </c:pt>
                <c:pt idx="10">
                  <c:v>138600</c:v>
                </c:pt>
              </c:numCache>
            </c:numRef>
          </c:val>
          <c:extLst>
            <c:ext xmlns:c16="http://schemas.microsoft.com/office/drawing/2014/chart" uri="{C3380CC4-5D6E-409C-BE32-E72D297353CC}">
              <c16:uniqueId val="{00000000-3674-49C1-B144-9D1232850794}"/>
            </c:ext>
          </c:extLst>
        </c:ser>
        <c:dLbls>
          <c:showLegendKey val="0"/>
          <c:showVal val="0"/>
          <c:showCatName val="0"/>
          <c:showSerName val="0"/>
          <c:showPercent val="0"/>
          <c:showBubbleSize val="0"/>
        </c:dLbls>
        <c:gapWidth val="182"/>
        <c:axId val="681121880"/>
        <c:axId val="681122240"/>
      </c:barChart>
      <c:catAx>
        <c:axId val="681121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22240"/>
        <c:crosses val="autoZero"/>
        <c:auto val="1"/>
        <c:lblAlgn val="ctr"/>
        <c:lblOffset val="100"/>
        <c:noMultiLvlLbl val="0"/>
      </c:catAx>
      <c:valAx>
        <c:axId val="68112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21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8932787280174"/>
          <c:y val="0.16798492733183254"/>
          <c:w val="0.72801659238737648"/>
          <c:h val="0.74091787487019012"/>
        </c:manualLayout>
      </c:layout>
      <c:lineChart>
        <c:grouping val="standard"/>
        <c:varyColors val="0"/>
        <c:ser>
          <c:idx val="0"/>
          <c:order val="0"/>
          <c:tx>
            <c:v>Total</c:v>
          </c:tx>
          <c:spPr>
            <a:ln w="28575" cap="rnd">
              <a:solidFill>
                <a:schemeClr val="accent1"/>
              </a:solidFill>
              <a:round/>
            </a:ln>
            <a:effectLst/>
          </c:spPr>
          <c:marker>
            <c:symbol val="none"/>
          </c:marker>
          <c:cat>
            <c:strLit>
              <c:ptCount val="7"/>
              <c:pt idx="0">
                <c:v>Friday</c:v>
              </c:pt>
              <c:pt idx="1">
                <c:v>Monday</c:v>
              </c:pt>
              <c:pt idx="2">
                <c:v>Saturday</c:v>
              </c:pt>
              <c:pt idx="3">
                <c:v>Sunday</c:v>
              </c:pt>
              <c:pt idx="4">
                <c:v>Thursday</c:v>
              </c:pt>
              <c:pt idx="5">
                <c:v>Tuesday</c:v>
              </c:pt>
              <c:pt idx="6">
                <c:v>Wednesday</c:v>
              </c:pt>
            </c:strLit>
          </c:cat>
          <c:val>
            <c:numLit>
              <c:formatCode>General</c:formatCode>
              <c:ptCount val="7"/>
              <c:pt idx="0">
                <c:v>742360</c:v>
              </c:pt>
              <c:pt idx="1">
                <c:v>1480110</c:v>
              </c:pt>
              <c:pt idx="2">
                <c:v>613300</c:v>
              </c:pt>
              <c:pt idx="3">
                <c:v>2687694</c:v>
              </c:pt>
              <c:pt idx="4">
                <c:v>1339230</c:v>
              </c:pt>
              <c:pt idx="5">
                <c:v>2019390</c:v>
              </c:pt>
              <c:pt idx="6">
                <c:v>511280</c:v>
              </c:pt>
            </c:numLit>
          </c:val>
          <c:smooth val="0"/>
          <c:extLst>
            <c:ext xmlns:c16="http://schemas.microsoft.com/office/drawing/2014/chart" uri="{C3380CC4-5D6E-409C-BE32-E72D297353CC}">
              <c16:uniqueId val="{00000000-C3D1-48B7-B283-AC7182781FA4}"/>
            </c:ext>
          </c:extLst>
        </c:ser>
        <c:dLbls>
          <c:showLegendKey val="0"/>
          <c:showVal val="0"/>
          <c:showCatName val="0"/>
          <c:showSerName val="0"/>
          <c:showPercent val="0"/>
          <c:showBubbleSize val="0"/>
        </c:dLbls>
        <c:smooth val="0"/>
        <c:axId val="355645536"/>
        <c:axId val="355646256"/>
      </c:lineChart>
      <c:catAx>
        <c:axId val="3556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6256"/>
        <c:crosses val="autoZero"/>
        <c:auto val="1"/>
        <c:lblAlgn val="ctr"/>
        <c:lblOffset val="100"/>
        <c:noMultiLvlLbl val="0"/>
      </c:catAx>
      <c:valAx>
        <c:axId val="35564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339858</xdr:colOff>
      <xdr:row>1</xdr:row>
      <xdr:rowOff>160987</xdr:rowOff>
    </xdr:from>
    <xdr:to>
      <xdr:col>24</xdr:col>
      <xdr:colOff>497417</xdr:colOff>
      <xdr:row>42</xdr:row>
      <xdr:rowOff>10584</xdr:rowOff>
    </xdr:to>
    <xdr:sp macro="" textlink="">
      <xdr:nvSpPr>
        <xdr:cNvPr id="2" name="Rectangle 1">
          <a:extLst>
            <a:ext uri="{FF2B5EF4-FFF2-40B4-BE49-F238E27FC236}">
              <a16:creationId xmlns:a16="http://schemas.microsoft.com/office/drawing/2014/main" id="{C9D2B9CC-F014-5A7F-9FA3-23E953C932BC}"/>
            </a:ext>
          </a:extLst>
        </xdr:cNvPr>
        <xdr:cNvSpPr/>
      </xdr:nvSpPr>
      <xdr:spPr>
        <a:xfrm>
          <a:off x="2795191" y="340904"/>
          <a:ext cx="12434226" cy="722618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baseline="0"/>
        </a:p>
      </xdr:txBody>
    </xdr:sp>
    <xdr:clientData/>
  </xdr:twoCellAnchor>
  <xdr:twoCellAnchor>
    <xdr:from>
      <xdr:col>10</xdr:col>
      <xdr:colOff>179109</xdr:colOff>
      <xdr:row>2</xdr:row>
      <xdr:rowOff>132428</xdr:rowOff>
    </xdr:from>
    <xdr:to>
      <xdr:col>20</xdr:col>
      <xdr:colOff>186531</xdr:colOff>
      <xdr:row>5</xdr:row>
      <xdr:rowOff>183228</xdr:rowOff>
    </xdr:to>
    <xdr:sp macro="" textlink="">
      <xdr:nvSpPr>
        <xdr:cNvPr id="3" name="Rectangle 2">
          <a:extLst>
            <a:ext uri="{FF2B5EF4-FFF2-40B4-BE49-F238E27FC236}">
              <a16:creationId xmlns:a16="http://schemas.microsoft.com/office/drawing/2014/main" id="{7C83178B-9A5B-F5E0-0CB2-EB902CFB315D}"/>
            </a:ext>
          </a:extLst>
        </xdr:cNvPr>
        <xdr:cNvSpPr/>
      </xdr:nvSpPr>
      <xdr:spPr>
        <a:xfrm>
          <a:off x="6231453" y="509459"/>
          <a:ext cx="6059766" cy="616347"/>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IN" sz="2800">
              <a:latin typeface="Segoe UI Semibold" panose="020B0702040204020203" pitchFamily="34" charset="0"/>
              <a:cs typeface="Segoe UI Semibold" panose="020B0702040204020203" pitchFamily="34" charset="0"/>
            </a:rPr>
            <a:t> Sales Dashboard</a:t>
          </a:r>
        </a:p>
      </xdr:txBody>
    </xdr:sp>
    <xdr:clientData/>
  </xdr:twoCellAnchor>
  <xdr:twoCellAnchor>
    <xdr:from>
      <xdr:col>4</xdr:col>
      <xdr:colOff>470189</xdr:colOff>
      <xdr:row>2</xdr:row>
      <xdr:rowOff>139784</xdr:rowOff>
    </xdr:from>
    <xdr:to>
      <xdr:col>7</xdr:col>
      <xdr:colOff>466328</xdr:colOff>
      <xdr:row>5</xdr:row>
      <xdr:rowOff>177884</xdr:rowOff>
    </xdr:to>
    <xdr:sp macro="" textlink="">
      <xdr:nvSpPr>
        <xdr:cNvPr id="4" name="Rectangle 3">
          <a:extLst>
            <a:ext uri="{FF2B5EF4-FFF2-40B4-BE49-F238E27FC236}">
              <a16:creationId xmlns:a16="http://schemas.microsoft.com/office/drawing/2014/main" id="{558C52C4-7C3C-132E-F2E9-E76DCB78EDA9}"/>
            </a:ext>
          </a:extLst>
        </xdr:cNvPr>
        <xdr:cNvSpPr/>
      </xdr:nvSpPr>
      <xdr:spPr>
        <a:xfrm>
          <a:off x="2891127" y="516815"/>
          <a:ext cx="1811842" cy="603647"/>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IN" sz="1200" b="1"/>
            <a:t>Total sales </a:t>
          </a:r>
        </a:p>
        <a:p>
          <a:pPr algn="l"/>
          <a:r>
            <a:rPr lang="en-IN" sz="1200" b="1" i="0" u="none" strike="noStrike">
              <a:solidFill>
                <a:schemeClr val="lt1"/>
              </a:solidFill>
              <a:effectLst/>
              <a:latin typeface="+mn-lt"/>
              <a:ea typeface="+mn-ea"/>
              <a:cs typeface="+mn-cs"/>
            </a:rPr>
            <a:t>  ₹      93,93,364.00 </a:t>
          </a:r>
          <a:endParaRPr lang="en-IN" sz="1200" b="1"/>
        </a:p>
      </xdr:txBody>
    </xdr:sp>
    <xdr:clientData/>
  </xdr:twoCellAnchor>
  <xdr:twoCellAnchor>
    <xdr:from>
      <xdr:col>20</xdr:col>
      <xdr:colOff>545581</xdr:colOff>
      <xdr:row>2</xdr:row>
      <xdr:rowOff>122875</xdr:rowOff>
    </xdr:from>
    <xdr:to>
      <xdr:col>23</xdr:col>
      <xdr:colOff>569103</xdr:colOff>
      <xdr:row>5</xdr:row>
      <xdr:rowOff>167325</xdr:rowOff>
    </xdr:to>
    <xdr:sp macro="" textlink="">
      <xdr:nvSpPr>
        <xdr:cNvPr id="5" name="Rectangle 4">
          <a:extLst>
            <a:ext uri="{FF2B5EF4-FFF2-40B4-BE49-F238E27FC236}">
              <a16:creationId xmlns:a16="http://schemas.microsoft.com/office/drawing/2014/main" id="{B4032645-6196-45D5-B25E-81CA249DF3F3}"/>
            </a:ext>
          </a:extLst>
        </xdr:cNvPr>
        <xdr:cNvSpPr/>
      </xdr:nvSpPr>
      <xdr:spPr>
        <a:xfrm>
          <a:off x="12650269" y="499906"/>
          <a:ext cx="1839225" cy="609997"/>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IN" sz="1400"/>
            <a:t>Total Profit</a:t>
          </a:r>
          <a:r>
            <a:rPr lang="en-IN" sz="1400" b="0" i="0" u="none" strike="noStrike">
              <a:solidFill>
                <a:schemeClr val="lt1"/>
              </a:solidFill>
              <a:effectLst/>
              <a:latin typeface="+mn-lt"/>
              <a:ea typeface="+mn-ea"/>
              <a:cs typeface="+mn-cs"/>
            </a:rPr>
            <a:t> </a:t>
          </a:r>
        </a:p>
        <a:p>
          <a:pPr algn="l"/>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      16,35,746.00 </a:t>
          </a:r>
          <a:endParaRPr lang="en-IN" sz="1400"/>
        </a:p>
      </xdr:txBody>
    </xdr:sp>
    <xdr:clientData/>
  </xdr:twoCellAnchor>
  <xdr:twoCellAnchor>
    <xdr:from>
      <xdr:col>8</xdr:col>
      <xdr:colOff>52737</xdr:colOff>
      <xdr:row>2</xdr:row>
      <xdr:rowOff>98112</xdr:rowOff>
    </xdr:from>
    <xdr:to>
      <xdr:col>9</xdr:col>
      <xdr:colOff>553702</xdr:colOff>
      <xdr:row>5</xdr:row>
      <xdr:rowOff>136212</xdr:rowOff>
    </xdr:to>
    <xdr:sp macro="" textlink="">
      <xdr:nvSpPr>
        <xdr:cNvPr id="6" name="Rectangle 5">
          <a:extLst>
            <a:ext uri="{FF2B5EF4-FFF2-40B4-BE49-F238E27FC236}">
              <a16:creationId xmlns:a16="http://schemas.microsoft.com/office/drawing/2014/main" id="{F5E8449E-77BC-4CB7-8A4E-5CA985B5AD3E}"/>
            </a:ext>
          </a:extLst>
        </xdr:cNvPr>
        <xdr:cNvSpPr/>
      </xdr:nvSpPr>
      <xdr:spPr>
        <a:xfrm>
          <a:off x="4963404" y="457945"/>
          <a:ext cx="1114798" cy="57785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IN" sz="1400"/>
            <a:t>No</a:t>
          </a:r>
          <a:r>
            <a:rPr lang="en-IN" sz="1400" baseline="0"/>
            <a:t> of </a:t>
          </a:r>
          <a:r>
            <a:rPr lang="en-IN" sz="1400"/>
            <a:t>orders</a:t>
          </a:r>
        </a:p>
        <a:p>
          <a:pPr algn="l"/>
          <a:r>
            <a:rPr lang="en-IN" sz="1400" b="0" i="0" u="none" strike="noStrike" baseline="0">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70</a:t>
          </a:r>
          <a:r>
            <a:rPr lang="en-IN" sz="1400">
              <a:effectLst/>
            </a:rPr>
            <a:t> </a:t>
          </a:r>
          <a:r>
            <a:rPr lang="en-IN" sz="1400" b="0" i="0" u="none" strike="noStrike" baseline="0">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 </a:t>
          </a:r>
          <a:endParaRPr lang="en-IN" sz="1400"/>
        </a:p>
      </xdr:txBody>
    </xdr:sp>
    <xdr:clientData/>
  </xdr:twoCellAnchor>
  <xdr:twoCellAnchor>
    <xdr:from>
      <xdr:col>7</xdr:col>
      <xdr:colOff>455084</xdr:colOff>
      <xdr:row>7</xdr:row>
      <xdr:rowOff>74083</xdr:rowOff>
    </xdr:from>
    <xdr:to>
      <xdr:col>15</xdr:col>
      <xdr:colOff>398441</xdr:colOff>
      <xdr:row>24</xdr:row>
      <xdr:rowOff>105833</xdr:rowOff>
    </xdr:to>
    <xdr:graphicFrame macro="">
      <xdr:nvGraphicFramePr>
        <xdr:cNvPr id="11" name="Chart 10">
          <a:extLst>
            <a:ext uri="{FF2B5EF4-FFF2-40B4-BE49-F238E27FC236}">
              <a16:creationId xmlns:a16="http://schemas.microsoft.com/office/drawing/2014/main" id="{74B482CF-EB9E-42BA-A4B2-F1C696792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465668</xdr:colOff>
      <xdr:row>7</xdr:row>
      <xdr:rowOff>74081</xdr:rowOff>
    </xdr:from>
    <xdr:to>
      <xdr:col>24</xdr:col>
      <xdr:colOff>211668</xdr:colOff>
      <xdr:row>24</xdr:row>
      <xdr:rowOff>116415</xdr:rowOff>
    </xdr:to>
    <xdr:graphicFrame macro="">
      <xdr:nvGraphicFramePr>
        <xdr:cNvPr id="12" name="Chart 11">
          <a:extLst>
            <a:ext uri="{FF2B5EF4-FFF2-40B4-BE49-F238E27FC236}">
              <a16:creationId xmlns:a16="http://schemas.microsoft.com/office/drawing/2014/main" id="{2BDC6ADD-2077-47F1-99F3-9E24C6072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455085</xdr:colOff>
      <xdr:row>24</xdr:row>
      <xdr:rowOff>175743</xdr:rowOff>
    </xdr:from>
    <xdr:to>
      <xdr:col>15</xdr:col>
      <xdr:colOff>412750</xdr:colOff>
      <xdr:row>40</xdr:row>
      <xdr:rowOff>148166</xdr:rowOff>
    </xdr:to>
    <xdr:graphicFrame macro="">
      <xdr:nvGraphicFramePr>
        <xdr:cNvPr id="14" name="Chart 13">
          <a:extLst>
            <a:ext uri="{FF2B5EF4-FFF2-40B4-BE49-F238E27FC236}">
              <a16:creationId xmlns:a16="http://schemas.microsoft.com/office/drawing/2014/main" id="{EA354DFE-B7EF-4962-A8D0-48CC1899F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476250</xdr:colOff>
      <xdr:row>24</xdr:row>
      <xdr:rowOff>166799</xdr:rowOff>
    </xdr:from>
    <xdr:to>
      <xdr:col>24</xdr:col>
      <xdr:colOff>222250</xdr:colOff>
      <xdr:row>40</xdr:row>
      <xdr:rowOff>158750</xdr:rowOff>
    </xdr:to>
    <xdr:graphicFrame macro="">
      <xdr:nvGraphicFramePr>
        <xdr:cNvPr id="15" name="Chart 14">
          <a:extLst>
            <a:ext uri="{FF2B5EF4-FFF2-40B4-BE49-F238E27FC236}">
              <a16:creationId xmlns:a16="http://schemas.microsoft.com/office/drawing/2014/main" id="{61AB94FB-C646-4FD5-9545-E15DAD4F5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391584</xdr:colOff>
      <xdr:row>27</xdr:row>
      <xdr:rowOff>137583</xdr:rowOff>
    </xdr:from>
    <xdr:to>
      <xdr:col>7</xdr:col>
      <xdr:colOff>361922</xdr:colOff>
      <xdr:row>40</xdr:row>
      <xdr:rowOff>95250</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DAA75293-61E4-45FB-A796-C06DCA1AAA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18695" y="5090583"/>
              <a:ext cx="1790671" cy="2342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391584</xdr:colOff>
      <xdr:row>7</xdr:row>
      <xdr:rowOff>31750</xdr:rowOff>
    </xdr:from>
    <xdr:to>
      <xdr:col>7</xdr:col>
      <xdr:colOff>391584</xdr:colOff>
      <xdr:row>27</xdr:row>
      <xdr:rowOff>10584</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731E9699-6604-4E25-A5C4-FA4769FDD0A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818695" y="1315861"/>
              <a:ext cx="1820333" cy="3647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xiora User-08" refreshedDate="46087.668977199071" backgroundQuery="1" createdVersion="8" refreshedVersion="8" minRefreshableVersion="3" recordCount="0" supportSubquery="1" supportAdvancedDrill="1" xr:uid="{B6FB92C0-C906-49AC-AED4-9E43F14C6B8A}">
  <cacheSource type="external" connectionId="3"/>
  <cacheFields count="2">
    <cacheField name="[Measures].[Sum of SalesAmount]" caption="Sum of SalesAmount" numFmtId="0" hierarchy="43" level="32767"/>
    <cacheField name="[SalesTable].[weekday].[weekday]" caption="weekday" numFmtId="0" hierarchy="35" level="1">
      <sharedItems count="7">
        <s v="Friday"/>
        <s v="Monday"/>
        <s v="Saturday"/>
        <s v="Sunday"/>
        <s v="Thursday"/>
        <s v="Tuesday"/>
        <s v="Wednesday"/>
      </sharedItems>
    </cacheField>
  </cacheFields>
  <cacheHierarchies count="44">
    <cacheHierarchy uniqueName="[SalesTable].[OrderID]" caption="OrderID" attribute="1" defaultMemberUniqueName="[SalesTable].[OrderID].[All]" allUniqueName="[SalesTable].[OrderID].[All]" dimensionUniqueName="[SalesTable]" displayFolder="" count="0" memberValueDatatype="20" unbalanced="0"/>
    <cacheHierarchy uniqueName="[SalesTable].[OrderDate]" caption="OrderDate" attribute="1" defaultMemberUniqueName="[SalesTable].[OrderDate].[All]" allUniqueName="[SalesTable].[OrderDate].[All]" dimensionUniqueName="[SalesTable]" displayFolder="" count="0" memberValueDatatype="130" unbalanced="0"/>
    <cacheHierarchy uniqueName="[SalesTable].[Region]" caption="Region" attribute="1" defaultMemberUniqueName="[SalesTable].[Region].[All]" allUniqueName="[SalesTable].[Region].[All]" dimensionUniqueName="[SalesTable]" displayFolder="" count="0" memberValueDatatype="130" unbalanced="0"/>
    <cacheHierarchy uniqueName="[SalesTable].[Salesperson]" caption="Salesperson" attribute="1" defaultMemberUniqueName="[SalesTable].[Salesperson].[All]" allUniqueName="[SalesTable].[Salesperson].[All]" dimensionUniqueName="[SalesTable]" displayFolder="" count="0" memberValueDatatype="130" unbalanced="0"/>
    <cacheHierarchy uniqueName="[SalesTable].[Category]" caption="Category" attribute="1" defaultMemberUniqueName="[SalesTable].[Category].[All]" allUniqueName="[SalesTable].[Category].[All]" dimensionUniqueName="[SalesTable]" displayFolder="" count="0" memberValueDatatype="130" unbalanced="0"/>
    <cacheHierarchy uniqueName="[SalesTable].[Product]" caption="Product" attribute="1" defaultMemberUniqueName="[SalesTable].[Product].[All]" allUniqueName="[SalesTable].[Product].[All]" dimensionUniqueName="[SalesTable]" displayFolder="" count="0" memberValueDatatype="130" unbalanced="0"/>
    <cacheHierarchy uniqueName="[SalesTable].[Segment]" caption="Segment" attribute="1" defaultMemberUniqueName="[SalesTable].[Segment].[All]" allUniqueName="[SalesTable].[Segment].[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Price]" caption="UnitPrice" attribute="1" defaultMemberUniqueName="[SalesTable].[UnitPrice].[All]" allUniqueName="[SalesTable].[UnitPrice].[All]" dimensionUniqueName="[SalesTable]" displayFolder="" count="0" memberValueDatatype="20" unbalanced="0"/>
    <cacheHierarchy uniqueName="[SalesTable].[Discount%]" caption="Discount%" attribute="1" defaultMemberUniqueName="[SalesTable].[Discount%].[All]" allUniqueName="[SalesTable].[Discount%].[All]" dimensionUniqueName="[SalesTable]" displayFolder="" count="0" memberValueDatatype="5" unbalanced="0"/>
    <cacheHierarchy uniqueName="[SalesTable].[SalesAmount]" caption="SalesAmount" attribute="1" defaultMemberUniqueName="[SalesTable].[SalesAmount].[All]" allUniqueName="[SalesTable].[SalesAmount].[All]" dimensionUniqueName="[SalesTable]" displayFolder="" count="0" memberValueDatatype="20" unbalanced="0"/>
    <cacheHierarchy uniqueName="[SalesTable].[Cost]" caption="Cost" attribute="1" defaultMemberUniqueName="[SalesTable].[Cost].[All]" allUniqueName="[SalesTable].[Cost].[All]" dimensionUniqueName="[SalesTable]" displayFolder="" count="0" memberValueDatatype="20" unbalanced="0"/>
    <cacheHierarchy uniqueName="[SalesTable].[Profit]" caption="Profit" attribute="1" defaultMemberUniqueName="[SalesTable].[Profit].[All]" allUniqueName="[SalesTable].[Profit].[All]" dimensionUniqueName="[SalesTable]" displayFolder="" count="0" memberValueDatatype="20" unbalanced="0"/>
    <cacheHierarchy uniqueName="[SalesTable].[PaymentMode]" caption="PaymentMode" attribute="1" defaultMemberUniqueName="[SalesTable].[PaymentMode].[All]" allUniqueName="[SalesTable].[PaymentMode].[All]" dimensionUniqueName="[SalesTable]" displayFolder="" count="0" memberValueDatatype="130" unbalanced="0"/>
    <cacheHierarchy uniqueName="[SalesTable].[Status]" caption="Status" attribute="1" defaultMemberUniqueName="[SalesTable].[Status].[All]" allUniqueName="[SalesTable].[Status].[All]" dimensionUniqueName="[SalesTable]" displayFolder="" count="0" memberValueDatatype="130" unbalanced="0"/>
    <cacheHierarchy uniqueName="[SalesTable].[if fn]" caption="if fn" attribute="1" defaultMemberUniqueName="[SalesTable].[if fn].[All]" allUniqueName="[SalesTable].[if fn].[All]" dimensionUniqueName="[SalesTable]" displayFolder="" count="0" memberValueDatatype="130" unbalanced="0"/>
    <cacheHierarchy uniqueName="[SalesTable].[And fn]" caption="And fn" attribute="1" defaultMemberUniqueName="[SalesTable].[And fn].[All]" allUniqueName="[SalesTable].[And fn].[All]" dimensionUniqueName="[SalesTable]" displayFolder="" count="0" memberValueDatatype="11" unbalanced="0"/>
    <cacheHierarchy uniqueName="[SalesTable].[or fn]" caption="or fn" attribute="1" defaultMemberUniqueName="[SalesTable].[or fn].[All]" allUniqueName="[SalesTable].[or fn].[All]" dimensionUniqueName="[SalesTable]" displayFolder="" count="0" memberValueDatatype="11" unbalanced="0"/>
    <cacheHierarchy uniqueName="[SalesTable].[not fn]" caption="not fn" attribute="1" defaultMemberUniqueName="[SalesTable].[not fn].[All]" allUniqueName="[SalesTable].[not fn].[All]" dimensionUniqueName="[SalesTable]" displayFolder="" count="0" memberValueDatatype="11" unbalanced="0"/>
    <cacheHierarchy uniqueName="[SalesTable].[iferror]" caption="iferror" attribute="1" defaultMemberUniqueName="[SalesTable].[iferror].[All]" allUniqueName="[SalesTable].[iferror].[All]" dimensionUniqueName="[SalesTable]" displayFolder="" count="0" memberValueDatatype="130" unbalanced="0"/>
    <cacheHierarchy uniqueName="[SalesTable].[uppercase]" caption="uppercase" attribute="1" defaultMemberUniqueName="[SalesTable].[uppercase].[All]" allUniqueName="[SalesTable].[uppercase].[All]" dimensionUniqueName="[SalesTable]" displayFolder="" count="0" memberValueDatatype="130" unbalanced="0"/>
    <cacheHierarchy uniqueName="[SalesTable].[lowercase]" caption="lowercase" attribute="1" defaultMemberUniqueName="[SalesTable].[lowercase].[All]" allUniqueName="[SalesTable].[lowercase].[All]" dimensionUniqueName="[SalesTable]" displayFolder="" count="0" memberValueDatatype="130" unbalanced="0"/>
    <cacheHierarchy uniqueName="[SalesTable].[left fn]" caption="left fn" attribute="1" defaultMemberUniqueName="[SalesTable].[left fn].[All]" allUniqueName="[SalesTable].[left fn].[All]" dimensionUniqueName="[SalesTable]" displayFolder="" count="0" memberValueDatatype="130" unbalanced="0"/>
    <cacheHierarchy uniqueName="[SalesTable].[right]" caption="right" attribute="1" defaultMemberUniqueName="[SalesTable].[right].[All]" allUniqueName="[SalesTable].[right].[All]" dimensionUniqueName="[SalesTable]" displayFolder="" count="0" memberValueDatatype="130" unbalanced="0"/>
    <cacheHierarchy uniqueName="[SalesTable].[middle]" caption="middle" attribute="1" defaultMemberUniqueName="[SalesTable].[middle].[All]" allUniqueName="[SalesTable].[middle].[All]" dimensionUniqueName="[SalesTable]" displayFolder="" count="0" memberValueDatatype="130" unbalanced="0"/>
    <cacheHierarchy uniqueName="[SalesTable].[concatenate]" caption="concatenate" attribute="1" defaultMemberUniqueName="[SalesTable].[concatenate].[All]" allUniqueName="[SalesTable].[concatenate].[All]" dimensionUniqueName="[SalesTable]" displayFolder="" count="0" memberValueDatatype="130" unbalanced="0"/>
    <cacheHierarchy uniqueName="[SalesTable].[length]" caption="length" attribute="1" defaultMemberUniqueName="[SalesTable].[length].[All]" allUniqueName="[SalesTable].[length].[All]" dimensionUniqueName="[SalesTable]" displayFolder="" count="0" memberValueDatatype="20" unbalanced="0"/>
    <cacheHierarchy uniqueName="[SalesTable].[trim]" caption="trim" attribute="1" defaultMemberUniqueName="[SalesTable].[trim].[All]" allUniqueName="[SalesTable].[trim].[All]" dimensionUniqueName="[SalesTable]" displayFolder="" count="0" memberValueDatatype="130" unbalanced="0"/>
    <cacheHierarchy uniqueName="[SalesTable].[textjoin]" caption="textjoin" attribute="1" defaultMemberUniqueName="[SalesTable].[textjoin].[All]" allUniqueName="[SalesTable].[textjoin].[All]" dimensionUniqueName="[SalesTable]" displayFolder="" count="0" memberValueDatatype="130" unbalanced="0"/>
    <cacheHierarchy uniqueName="[SalesTable].[find]" caption="find" attribute="1" defaultMemberUniqueName="[SalesTable].[find].[All]" allUniqueName="[SalesTable].[find].[All]" dimensionUniqueName="[SalesTable]" displayFolder="" count="0" memberValueDatatype="20" unbalanced="0"/>
    <cacheHierarchy uniqueName="[SalesTable].[today]" caption="today" attribute="1" time="1" defaultMemberUniqueName="[SalesTable].[today].[All]" allUniqueName="[SalesTable].[today].[All]" dimensionUniqueName="[SalesTable]" displayFolder="" count="0" memberValueDatatype="7" unbalanced="0"/>
    <cacheHierarchy uniqueName="[SalesTable].[now]" caption="now" attribute="1" time="1" defaultMemberUniqueName="[SalesTable].[now].[All]" allUniqueName="[SalesTable].[now].[All]" dimensionUniqueName="[SalesTable]" displayFolder="" count="0" memberValueDatatype="7" unbalanced="0"/>
    <cacheHierarchy uniqueName="[SalesTable].[day of date]" caption="day of date" attribute="1" defaultMemberUniqueName="[SalesTable].[day of date].[All]" allUniqueName="[SalesTable].[day of date].[All]" dimensionUniqueName="[SalesTable]" displayFolder="" count="0" memberValueDatatype="20" unbalanced="0"/>
    <cacheHierarchy uniqueName="[SalesTable].[month of day]" caption="month of day" attribute="1" defaultMemberUniqueName="[SalesTable].[month of day].[All]" allUniqueName="[SalesTable].[month of day].[All]" dimensionUniqueName="[SalesTable]" displayFolder="" count="0" memberValueDatatype="20" unbalanced="0"/>
    <cacheHierarchy uniqueName="[SalesTable].[year of day]" caption="year of day" attribute="1" defaultMemberUniqueName="[SalesTable].[year of day].[All]" allUniqueName="[SalesTable].[year of day].[All]" dimensionUniqueName="[SalesTable]" displayFolder="" count="0" memberValueDatatype="20" unbalanced="0"/>
    <cacheHierarchy uniqueName="[SalesTable].[weekday]" caption="weekday" attribute="1" defaultMemberUniqueName="[SalesTable].[weekday].[All]" allUniqueName="[SalesTable].[weekday].[All]" dimensionUniqueName="[SalesTable]" displayFolder="" count="2" memberValueDatatype="130" unbalanced="0">
      <fieldsUsage count="2">
        <fieldUsage x="-1"/>
        <fieldUsage x="1"/>
      </fieldsUsage>
    </cacheHierarchy>
    <cacheHierarchy uniqueName="[SalesTable].[weekday of date]" caption="weekday of date" attribute="1" defaultMemberUniqueName="[SalesTable].[weekday of date].[All]" allUniqueName="[SalesTable].[weekday of date].[All]" dimensionUniqueName="[SalesTable]" displayFolder="" count="0" memberValueDatatype="20" unbalanced="0"/>
    <cacheHierarchy uniqueName="[SalesTable].[time]" caption="time" attribute="1" time="1" defaultMemberUniqueName="[SalesTable].[time].[All]" allUniqueName="[SalesTable].[time].[All]" dimensionUniqueName="[SalesTable]" displayFolder="" count="0" memberValueDatatype="7" unbalanced="0"/>
    <cacheHierarchy uniqueName="[SalesTable].[hour time]" caption="hour time" attribute="1" defaultMemberUniqueName="[SalesTable].[hour time].[All]" allUniqueName="[SalesTable].[hour time].[All]" dimensionUniqueName="[SalesTable]" displayFolder="" count="0" memberValueDatatype="20" unbalanced="0"/>
    <cacheHierarchy uniqueName="[SalesTable].[minutes]" caption="minutes" attribute="1" defaultMemberUniqueName="[SalesTable].[minutes].[All]" allUniqueName="[SalesTable].[minutes].[All]" dimensionUniqueName="[SalesTable]" displayFolder="" count="0" memberValueDatatype="20" unbalanced="0"/>
    <cacheHierarchy uniqueName="[SalesTable].[Column1]" caption="Column1" attribute="1" defaultMemberUniqueName="[SalesTable].[Column1].[All]" allUniqueName="[SalesTable].[Column1].[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Amount]" caption="Sum of SalesAmount" measure="1" displayFolder="" measureGroup="SalesTabl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xiora User-08" refreshedDate="46087.668977777779" createdVersion="8" refreshedVersion="8" minRefreshableVersion="3" recordCount="70" xr:uid="{AB507D8F-2C60-49AB-97F1-0C6D48BBCA07}">
  <cacheSource type="worksheet">
    <worksheetSource name="SalesTable"/>
  </cacheSource>
  <cacheFields count="41">
    <cacheField name="OrderID" numFmtId="0">
      <sharedItems containsSemiMixedTypes="0" containsString="0" containsNumber="1" containsInteger="1" minValue="1001" maxValue="1070"/>
    </cacheField>
    <cacheField name="OrderDate" numFmtId="0">
      <sharedItems/>
    </cacheField>
    <cacheField name="Region" numFmtId="0">
      <sharedItems count="4">
        <s v="South"/>
        <s v="West"/>
        <s v="East"/>
        <s v="North"/>
      </sharedItems>
    </cacheField>
    <cacheField name="Salesperson" numFmtId="0">
      <sharedItems/>
    </cacheField>
    <cacheField name="Category" numFmtId="0">
      <sharedItems count="3">
        <s v="Furniture"/>
        <s v="Electronics"/>
        <s v="Office Supplies"/>
      </sharedItems>
    </cacheField>
    <cacheField name="Product" numFmtId="0">
      <sharedItems count="11">
        <s v="Chair"/>
        <s v="Tablet"/>
        <s v="Mobile"/>
        <s v="Cupboard"/>
        <s v="Sofa"/>
        <s v="Table"/>
        <s v="Pen Pack"/>
        <s v="Printer Paper"/>
        <s v="Laptop"/>
        <s v="Headphones"/>
        <s v="Notebook"/>
      </sharedItems>
    </cacheField>
    <cacheField name="Segment" numFmtId="0">
      <sharedItems/>
    </cacheField>
    <cacheField name="Quantity" numFmtId="0">
      <sharedItems containsSemiMixedTypes="0" containsString="0" containsNumber="1" containsInteger="1" minValue="1" maxValue="20"/>
    </cacheField>
    <cacheField name="UnitPrice" numFmtId="0">
      <sharedItems containsSemiMixedTypes="0" containsString="0" containsNumber="1" containsInteger="1" minValue="100" maxValue="55000"/>
    </cacheField>
    <cacheField name="Discount%" numFmtId="0">
      <sharedItems containsSemiMixedTypes="0" containsString="0" containsNumber="1" minValue="0" maxValue="0.15"/>
    </cacheField>
    <cacheField name="SalesAmount" numFmtId="0">
      <sharedItems containsSemiMixedTypes="0" containsString="0" containsNumber="1" containsInteger="1" minValue="0" maxValue="940500"/>
    </cacheField>
    <cacheField name="Cost" numFmtId="0">
      <sharedItems containsSemiMixedTypes="0" containsString="0" containsNumber="1" containsInteger="1" minValue="200" maxValue="950000"/>
    </cacheField>
    <cacheField name="Profit" numFmtId="0">
      <sharedItems containsSemiMixedTypes="0" containsString="0" containsNumber="1" containsInteger="1" minValue="-9500" maxValue="167400"/>
    </cacheField>
    <cacheField name="PaymentMode" numFmtId="0">
      <sharedItems/>
    </cacheField>
    <cacheField name="Status" numFmtId="0">
      <sharedItems/>
    </cacheField>
    <cacheField name="if fn" numFmtId="0">
      <sharedItems/>
    </cacheField>
    <cacheField name="And fn" numFmtId="0">
      <sharedItems/>
    </cacheField>
    <cacheField name="or fn" numFmtId="0">
      <sharedItems/>
    </cacheField>
    <cacheField name="not fn " numFmtId="0">
      <sharedItems/>
    </cacheField>
    <cacheField name="iferror" numFmtId="0">
      <sharedItems containsMixedTypes="1" containsNumber="1" minValue="-1.0101010101010102E-2" maxValue="0.5"/>
    </cacheField>
    <cacheField name="uppercase " numFmtId="0">
      <sharedItems/>
    </cacheField>
    <cacheField name="lowercase" numFmtId="0">
      <sharedItems/>
    </cacheField>
    <cacheField name="left fn " numFmtId="0">
      <sharedItems/>
    </cacheField>
    <cacheField name="right" numFmtId="0">
      <sharedItems/>
    </cacheField>
    <cacheField name="middle" numFmtId="0">
      <sharedItems/>
    </cacheField>
    <cacheField name="concatenate " numFmtId="0">
      <sharedItems/>
    </cacheField>
    <cacheField name="length" numFmtId="0">
      <sharedItems containsSemiMixedTypes="0" containsString="0" containsNumber="1" containsInteger="1" minValue="4" maxValue="5"/>
    </cacheField>
    <cacheField name="trim " numFmtId="0">
      <sharedItems/>
    </cacheField>
    <cacheField name="textjoin" numFmtId="0">
      <sharedItems/>
    </cacheField>
    <cacheField name="find" numFmtId="0">
      <sharedItems containsSemiMixedTypes="0" containsString="0" containsNumber="1" containsInteger="1" minValue="2" maxValue="3"/>
    </cacheField>
    <cacheField name="today " numFmtId="14">
      <sharedItems containsSemiMixedTypes="0" containsNonDate="0" containsDate="1" containsString="0" minDate="2026-03-06T00:00:00" maxDate="2026-03-07T00:00:00"/>
    </cacheField>
    <cacheField name="now" numFmtId="22">
      <sharedItems containsSemiMixedTypes="0" containsNonDate="0" containsDate="1" containsString="0" minDate="2026-03-06T16:03:20" maxDate="2026-03-06T16:03:20"/>
    </cacheField>
    <cacheField name="day of date" numFmtId="0">
      <sharedItems containsSemiMixedTypes="0" containsString="0" containsNumber="1" containsInteger="1" minValue="1" maxValue="31"/>
    </cacheField>
    <cacheField name="month of day " numFmtId="0">
      <sharedItems containsSemiMixedTypes="0" containsString="0" containsNumber="1" containsInteger="1" minValue="1" maxValue="3" count="3">
        <n v="2"/>
        <n v="3"/>
        <n v="1"/>
      </sharedItems>
    </cacheField>
    <cacheField name="year of day" numFmtId="0">
      <sharedItems containsSemiMixedTypes="0" containsString="0" containsNumber="1" containsInteger="1" minValue="2025" maxValue="2025"/>
    </cacheField>
    <cacheField name="weekday" numFmtId="0">
      <sharedItems/>
    </cacheField>
    <cacheField name="weekday of date " numFmtId="0">
      <sharedItems containsSemiMixedTypes="0" containsString="0" containsNumber="1" containsInteger="1" minValue="1" maxValue="7"/>
    </cacheField>
    <cacheField name="time " numFmtId="18">
      <sharedItems containsSemiMixedTypes="0" containsNonDate="0" containsDate="1" containsString="0" minDate="1899-12-30T10:30:00" maxDate="1899-12-30T10:30:00"/>
    </cacheField>
    <cacheField name="hour time" numFmtId="0">
      <sharedItems containsSemiMixedTypes="0" containsString="0" containsNumber="1" containsInteger="1" minValue="10" maxValue="10"/>
    </cacheField>
    <cacheField name="minutes" numFmtId="0">
      <sharedItems containsSemiMixedTypes="0" containsString="0" containsNumber="1" containsInteger="1" minValue="30" maxValue="30"/>
    </cacheField>
    <cacheField name="Column1" numFmtId="0">
      <sharedItems containsNonDate="0" containsString="0" containsBlank="1"/>
    </cacheField>
  </cacheFields>
  <extLst>
    <ext xmlns:x14="http://schemas.microsoft.com/office/spreadsheetml/2009/9/main" uri="{725AE2AE-9491-48be-B2B4-4EB974FC3084}">
      <x14:pivotCacheDefinition pivotCacheId="1697270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001"/>
    <s v="13-02-2025"/>
    <x v="0"/>
    <s v="Priya"/>
    <x v="0"/>
    <x v="0"/>
    <s v="Corporate"/>
    <n v="15"/>
    <n v="3000"/>
    <n v="0.1"/>
    <n v="40500"/>
    <n v="30000"/>
    <n v="10500"/>
    <s v="EMI"/>
    <s v="Delivered"/>
    <s v="low sales"/>
    <b v="0"/>
    <b v="0"/>
    <b v="0"/>
    <n v="0.25925925925925924"/>
    <s v="PRIYA"/>
    <s v="priya"/>
    <s v="PR"/>
    <s v="IYA"/>
    <s v="RI"/>
    <s v="PRIYA"/>
    <n v="5"/>
    <s v="Corporate"/>
    <s v="priya-RI"/>
    <n v="2"/>
    <d v="2026-03-06T00:00:00"/>
    <d v="2026-03-06T16:03:20"/>
    <n v="13"/>
    <x v="0"/>
    <n v="2025"/>
    <s v="Thursday"/>
    <n v="5"/>
    <d v="1899-12-30T10:30:00"/>
    <n v="10"/>
    <n v="30"/>
    <m/>
  </r>
  <r>
    <n v="1002"/>
    <s v="28-02-2025"/>
    <x v="1"/>
    <s v="Amit"/>
    <x v="1"/>
    <x v="1"/>
    <s v="Home Office"/>
    <n v="8"/>
    <n v="15000"/>
    <n v="0"/>
    <n v="120000"/>
    <n v="96000"/>
    <n v="24000"/>
    <s v="Cash"/>
    <s v="Cancelled"/>
    <s v="low sales"/>
    <b v="0"/>
    <b v="1"/>
    <b v="0"/>
    <n v="0.2"/>
    <s v="AMIT"/>
    <s v="amit"/>
    <s v="AM"/>
    <s v="MIT"/>
    <s v="MI"/>
    <s v="AMMIT"/>
    <n v="4"/>
    <s v="Home Office"/>
    <s v="amit-MI"/>
    <n v="3"/>
    <d v="2026-03-06T00:00:00"/>
    <d v="2026-03-06T16:03:20"/>
    <n v="28"/>
    <x v="0"/>
    <n v="2025"/>
    <s v="Friday"/>
    <n v="6"/>
    <d v="1899-12-30T10:30:00"/>
    <n v="10"/>
    <n v="30"/>
    <m/>
  </r>
  <r>
    <n v="1003"/>
    <s v="23-02-2025"/>
    <x v="2"/>
    <s v="Priya"/>
    <x v="1"/>
    <x v="2"/>
    <s v="Corporate"/>
    <n v="19"/>
    <n v="20000"/>
    <n v="0.1"/>
    <n v="342000"/>
    <n v="285000"/>
    <n v="57000"/>
    <s v="Cash"/>
    <s v="Delivered"/>
    <s v="low sales"/>
    <b v="1"/>
    <b v="1"/>
    <b v="0"/>
    <n v="0.16666666666666666"/>
    <s v="PRIYA"/>
    <s v="priya"/>
    <s v="PR"/>
    <s v="IYA"/>
    <s v="RI"/>
    <s v="PRIYA"/>
    <n v="5"/>
    <s v="Corporate"/>
    <s v="priya-RI"/>
    <n v="2"/>
    <d v="2026-03-06T00:00:00"/>
    <d v="2026-03-06T16:03:20"/>
    <n v="23"/>
    <x v="0"/>
    <n v="2025"/>
    <s v="Sunday"/>
    <n v="1"/>
    <d v="1899-12-30T10:30:00"/>
    <n v="10"/>
    <n v="30"/>
    <m/>
  </r>
  <r>
    <n v="1004"/>
    <s v="10-02-2025"/>
    <x v="3"/>
    <s v="Amit"/>
    <x v="0"/>
    <x v="3"/>
    <s v="Corporate"/>
    <n v="19"/>
    <n v="25000"/>
    <n v="0.15"/>
    <n v="403750"/>
    <n v="342000"/>
    <n v="61750"/>
    <s v="EMI"/>
    <s v="Delivered"/>
    <s v="high sales"/>
    <b v="0"/>
    <b v="1"/>
    <b v="0"/>
    <n v="0.15294117647058825"/>
    <s v="AMIT"/>
    <s v="amit"/>
    <s v="AM"/>
    <s v="MIT"/>
    <s v="MI"/>
    <s v="AMMIT"/>
    <n v="4"/>
    <s v="Corporate"/>
    <s v="amit-MI"/>
    <n v="3"/>
    <d v="2026-03-06T00:00:00"/>
    <d v="2026-03-06T16:03:20"/>
    <n v="10"/>
    <x v="0"/>
    <n v="2025"/>
    <s v="Monday"/>
    <n v="2"/>
    <d v="1899-12-30T10:30:00"/>
    <n v="10"/>
    <n v="30"/>
    <m/>
  </r>
  <r>
    <n v="1005"/>
    <s v="01-03-2025"/>
    <x v="0"/>
    <s v="Priya"/>
    <x v="0"/>
    <x v="4"/>
    <s v="Home Office"/>
    <n v="2"/>
    <n v="35000"/>
    <n v="0.1"/>
    <n v="63000"/>
    <n v="50000"/>
    <n v="13000"/>
    <s v="UPI"/>
    <s v="Pending"/>
    <s v="low sales"/>
    <b v="0"/>
    <b v="0"/>
    <b v="0"/>
    <n v="0.20634920634920634"/>
    <s v="PRIYA"/>
    <s v="priya"/>
    <s v="PR"/>
    <s v="IYA"/>
    <s v="RI"/>
    <s v="PRIYA"/>
    <n v="5"/>
    <s v="Home Office"/>
    <s v="priya-RI"/>
    <n v="2"/>
    <d v="2026-03-06T00:00:00"/>
    <d v="2026-03-06T16:03:20"/>
    <n v="1"/>
    <x v="1"/>
    <n v="2025"/>
    <s v="Saturday"/>
    <n v="7"/>
    <d v="1899-12-30T10:30:00"/>
    <n v="10"/>
    <n v="30"/>
    <m/>
  </r>
  <r>
    <n v="1006"/>
    <s v="22-01-2025"/>
    <x v="2"/>
    <s v="Sneha"/>
    <x v="0"/>
    <x v="5"/>
    <s v="Home Office"/>
    <n v="8"/>
    <n v="12000"/>
    <n v="0.02"/>
    <n v="94080"/>
    <n v="64000"/>
    <n v="30080"/>
    <s v="Card"/>
    <s v="Cancelled"/>
    <s v="low sales"/>
    <b v="0"/>
    <b v="0"/>
    <b v="0"/>
    <n v="0.31972789115646261"/>
    <s v="SNEHA"/>
    <s v="sneha"/>
    <s v="SN"/>
    <s v="EHA"/>
    <s v="NE"/>
    <s v="SNEHA"/>
    <n v="5"/>
    <s v="Home Office"/>
    <s v="sneha-NE"/>
    <n v="2"/>
    <d v="2026-03-06T00:00:00"/>
    <d v="2026-03-06T16:03:20"/>
    <n v="22"/>
    <x v="2"/>
    <n v="2025"/>
    <s v="Wednesday"/>
    <n v="4"/>
    <d v="1899-12-30T10:30:00"/>
    <n v="10"/>
    <n v="30"/>
    <m/>
  </r>
  <r>
    <n v="1007"/>
    <s v="18-01-2025"/>
    <x v="2"/>
    <s v="Sneha"/>
    <x v="2"/>
    <x v="6"/>
    <s v="Corporate"/>
    <n v="5"/>
    <n v="100"/>
    <n v="0"/>
    <n v="500"/>
    <n v="250"/>
    <n v="250"/>
    <s v="Cash"/>
    <s v="Delivered"/>
    <s v="low sales"/>
    <b v="0"/>
    <b v="1"/>
    <b v="1"/>
    <n v="0.5"/>
    <s v="SNEHA"/>
    <s v="sneha"/>
    <s v="SN"/>
    <s v="EHA"/>
    <s v="NE"/>
    <s v="SNEHA"/>
    <n v="5"/>
    <s v="Corporate"/>
    <s v="sneha-NE"/>
    <n v="2"/>
    <d v="2026-03-06T00:00:00"/>
    <d v="2026-03-06T16:03:20"/>
    <n v="18"/>
    <x v="2"/>
    <n v="2025"/>
    <s v="Saturday"/>
    <n v="7"/>
    <d v="1899-12-30T10:30:00"/>
    <n v="10"/>
    <n v="30"/>
    <m/>
  </r>
  <r>
    <n v="1008"/>
    <s v="03-01-2025"/>
    <x v="2"/>
    <s v="Priya"/>
    <x v="2"/>
    <x v="7"/>
    <s v="Corporate"/>
    <n v="10"/>
    <n v="500"/>
    <n v="0.1"/>
    <n v="4500"/>
    <n v="3500"/>
    <n v="1000"/>
    <s v="Card"/>
    <s v="Delivered"/>
    <s v="low sales"/>
    <b v="0"/>
    <b v="0"/>
    <b v="0"/>
    <n v="0.22222222222222221"/>
    <s v="PRIYA"/>
    <s v="priya"/>
    <s v="PR"/>
    <s v="IYA"/>
    <s v="RI"/>
    <s v="PRIYA"/>
    <n v="5"/>
    <s v="Corporate"/>
    <s v="priya-RI"/>
    <n v="2"/>
    <d v="2026-03-06T00:00:00"/>
    <d v="2026-03-06T16:03:20"/>
    <n v="3"/>
    <x v="2"/>
    <n v="2025"/>
    <s v="Friday"/>
    <n v="6"/>
    <d v="1899-12-30T10:30:00"/>
    <n v="10"/>
    <n v="30"/>
    <m/>
  </r>
  <r>
    <n v="1009"/>
    <s v="13-02-2025"/>
    <x v="0"/>
    <s v="Priya"/>
    <x v="1"/>
    <x v="8"/>
    <s v="Home Office"/>
    <n v="4"/>
    <n v="55000"/>
    <n v="0.05"/>
    <n v="209000"/>
    <n v="200000"/>
    <n v="9000"/>
    <s v="Cash"/>
    <s v="Cancelled"/>
    <s v="low sales"/>
    <b v="0"/>
    <b v="1"/>
    <b v="0"/>
    <n v="4.3062200956937802E-2"/>
    <s v="PRIYA"/>
    <s v="priya"/>
    <s v="PR"/>
    <s v="IYA"/>
    <s v="RI"/>
    <s v="PRIYA"/>
    <n v="5"/>
    <s v="Home Office"/>
    <s v="priya-RI"/>
    <n v="2"/>
    <d v="2026-03-06T00:00:00"/>
    <d v="2026-03-06T16:03:20"/>
    <n v="13"/>
    <x v="0"/>
    <n v="2025"/>
    <s v="Thursday"/>
    <n v="5"/>
    <d v="1899-12-30T10:30:00"/>
    <n v="10"/>
    <n v="30"/>
    <m/>
  </r>
  <r>
    <n v="1010"/>
    <s v="28-01-2025"/>
    <x v="3"/>
    <s v="Priya"/>
    <x v="1"/>
    <x v="1"/>
    <s v="Consumer"/>
    <n v="3"/>
    <n v="15000"/>
    <n v="0.02"/>
    <n v="44100"/>
    <n v="36000"/>
    <n v="8100"/>
    <s v="UPI"/>
    <s v="Delivered"/>
    <s v="low sales"/>
    <b v="0"/>
    <b v="0"/>
    <b v="0"/>
    <n v="0.18367346938775511"/>
    <s v="PRIYA"/>
    <s v="priya"/>
    <s v="PR"/>
    <s v="IYA"/>
    <s v="RI"/>
    <s v="PRIYA"/>
    <n v="5"/>
    <s v="Consumer"/>
    <s v="priya-RI"/>
    <n v="2"/>
    <d v="2026-03-06T00:00:00"/>
    <d v="2026-03-06T16:03:20"/>
    <n v="28"/>
    <x v="2"/>
    <n v="2025"/>
    <s v="Tuesday"/>
    <n v="3"/>
    <d v="1899-12-30T10:30:00"/>
    <n v="10"/>
    <n v="30"/>
    <m/>
  </r>
  <r>
    <n v="1011"/>
    <s v="02-01-2025"/>
    <x v="0"/>
    <s v="Rahul"/>
    <x v="1"/>
    <x v="2"/>
    <s v="Consumer"/>
    <n v="11"/>
    <n v="20000"/>
    <n v="0.1"/>
    <n v="198000"/>
    <n v="165000"/>
    <n v="33000"/>
    <s v="Card"/>
    <s v="Pending"/>
    <s v="low sales"/>
    <b v="0"/>
    <b v="0"/>
    <b v="0"/>
    <n v="0.16666666666666666"/>
    <s v="RAHUL"/>
    <s v="rahul"/>
    <s v="RA"/>
    <s v="HUL"/>
    <s v="AH"/>
    <s v="RAHUL"/>
    <n v="5"/>
    <s v="Consumer"/>
    <s v="rahul-AH"/>
    <n v="2"/>
    <d v="2026-03-06T00:00:00"/>
    <d v="2026-03-06T16:03:20"/>
    <n v="2"/>
    <x v="2"/>
    <n v="2025"/>
    <s v="Thursday"/>
    <n v="5"/>
    <d v="1899-12-30T10:30:00"/>
    <n v="10"/>
    <n v="30"/>
    <m/>
  </r>
  <r>
    <n v="1012"/>
    <s v="06-02-2025"/>
    <x v="1"/>
    <s v="Amit"/>
    <x v="2"/>
    <x v="6"/>
    <s v="Corporate"/>
    <n v="5"/>
    <n v="100"/>
    <n v="0.08"/>
    <n v="460"/>
    <n v="250"/>
    <n v="210"/>
    <s v="Card"/>
    <s v="Cancelled"/>
    <s v="low sales"/>
    <b v="0"/>
    <b v="0"/>
    <b v="1"/>
    <n v="0.45652173913043476"/>
    <s v="AMIT"/>
    <s v="amit"/>
    <s v="AM"/>
    <s v="MIT"/>
    <s v="MI"/>
    <s v="AMMIT"/>
    <n v="4"/>
    <s v="Corporate"/>
    <s v="amit-MI"/>
    <n v="3"/>
    <d v="2026-03-06T00:00:00"/>
    <d v="2026-03-06T16:03:20"/>
    <n v="6"/>
    <x v="0"/>
    <n v="2025"/>
    <s v="Thursday"/>
    <n v="5"/>
    <d v="1899-12-30T10:30:00"/>
    <n v="10"/>
    <n v="30"/>
    <m/>
  </r>
  <r>
    <n v="1013"/>
    <s v="23-02-2025"/>
    <x v="0"/>
    <s v="Rahul"/>
    <x v="1"/>
    <x v="8"/>
    <s v="Home Office"/>
    <n v="6"/>
    <n v="55000"/>
    <n v="0.05"/>
    <n v="313500"/>
    <n v="300000"/>
    <n v="13500"/>
    <s v="EMI"/>
    <s v="Delivered"/>
    <s v="low sales"/>
    <b v="0"/>
    <b v="1"/>
    <b v="0"/>
    <n v="4.3062200956937802E-2"/>
    <s v="RAHUL"/>
    <s v="rahul"/>
    <s v="RA"/>
    <s v="HUL"/>
    <s v="AH"/>
    <s v="RAHUL"/>
    <n v="5"/>
    <s v="Home Office"/>
    <s v="rahul-AH"/>
    <n v="2"/>
    <d v="2026-03-06T00:00:00"/>
    <d v="2026-03-06T16:03:20"/>
    <n v="23"/>
    <x v="0"/>
    <n v="2025"/>
    <s v="Sunday"/>
    <n v="1"/>
    <d v="1899-12-30T10:30:00"/>
    <n v="10"/>
    <n v="30"/>
    <m/>
  </r>
  <r>
    <n v="1014"/>
    <s v="03-02-2025"/>
    <x v="2"/>
    <s v="Rahul"/>
    <x v="1"/>
    <x v="1"/>
    <s v="Corporate"/>
    <n v="20"/>
    <n v="15000"/>
    <n v="0.1"/>
    <n v="270000"/>
    <n v="240000"/>
    <n v="30000"/>
    <s v="UPI"/>
    <s v="Pending"/>
    <s v="low sales"/>
    <b v="0"/>
    <b v="0"/>
    <b v="0"/>
    <n v="0.1111111111111111"/>
    <s v="RAHUL"/>
    <s v="rahul"/>
    <s v="RA"/>
    <s v="HUL"/>
    <s v="AH"/>
    <s v="RAHUL"/>
    <n v="5"/>
    <s v="Corporate"/>
    <s v="rahul-AH"/>
    <n v="2"/>
    <d v="2026-03-06T00:00:00"/>
    <d v="2026-03-06T16:03:20"/>
    <n v="3"/>
    <x v="0"/>
    <n v="2025"/>
    <s v="Monday"/>
    <n v="2"/>
    <d v="1899-12-30T10:30:00"/>
    <n v="10"/>
    <n v="30"/>
    <m/>
  </r>
  <r>
    <n v="1015"/>
    <s v="25-02-2025"/>
    <x v="0"/>
    <s v="Rahul"/>
    <x v="1"/>
    <x v="8"/>
    <s v="Consumer"/>
    <n v="11"/>
    <n v="55000"/>
    <n v="0.1"/>
    <n v="544500"/>
    <n v="550000"/>
    <n v="-5500"/>
    <s v="Cash"/>
    <s v="Pending"/>
    <s v="high sales"/>
    <b v="1"/>
    <b v="1"/>
    <b v="0"/>
    <n v="-1.0101010101010102E-2"/>
    <s v="RAHUL"/>
    <s v="rahul"/>
    <s v="RA"/>
    <s v="HUL"/>
    <s v="AH"/>
    <s v="RAHUL"/>
    <n v="5"/>
    <s v="Consumer"/>
    <s v="rahul-AH"/>
    <n v="2"/>
    <d v="2026-03-06T00:00:00"/>
    <d v="2026-03-06T16:03:20"/>
    <n v="25"/>
    <x v="0"/>
    <n v="2025"/>
    <s v="Tuesday"/>
    <n v="3"/>
    <d v="1899-12-30T10:30:00"/>
    <n v="10"/>
    <n v="30"/>
    <m/>
  </r>
  <r>
    <n v="1016"/>
    <s v="23-01-2025"/>
    <x v="1"/>
    <s v="Amit"/>
    <x v="1"/>
    <x v="9"/>
    <s v="Home Office"/>
    <n v="18"/>
    <n v="2000"/>
    <n v="0.02"/>
    <n v="35280"/>
    <n v="27000"/>
    <n v="8280"/>
    <s v="Card"/>
    <s v="Cancelled"/>
    <s v="low sales"/>
    <b v="0"/>
    <b v="0"/>
    <b v="0"/>
    <n v="0.23469387755102042"/>
    <s v="AMIT"/>
    <s v="amit"/>
    <s v="AM"/>
    <s v="MIT"/>
    <s v="MI"/>
    <s v="AMMIT"/>
    <n v="4"/>
    <s v="Home Office"/>
    <s v="amit-MI"/>
    <n v="3"/>
    <d v="2026-03-06T00:00:00"/>
    <d v="2026-03-06T16:03:20"/>
    <n v="23"/>
    <x v="2"/>
    <n v="2025"/>
    <s v="Thursday"/>
    <n v="5"/>
    <d v="1899-12-30T10:30:00"/>
    <n v="10"/>
    <n v="30"/>
    <m/>
  </r>
  <r>
    <n v="1017"/>
    <s v="05-01-2025"/>
    <x v="0"/>
    <s v="Sneha"/>
    <x v="0"/>
    <x v="4"/>
    <s v="Home Office"/>
    <n v="10"/>
    <n v="35000"/>
    <n v="0.02"/>
    <n v="343000"/>
    <n v="250000"/>
    <n v="93000"/>
    <s v="UPI"/>
    <s v="Delivered"/>
    <s v="low sales"/>
    <b v="0"/>
    <b v="1"/>
    <b v="0"/>
    <n v="0.27113702623906705"/>
    <s v="SNEHA"/>
    <s v="sneha"/>
    <s v="SN"/>
    <s v="EHA"/>
    <s v="NE"/>
    <s v="SNEHA"/>
    <n v="5"/>
    <s v="Home Office"/>
    <s v="sneha-NE"/>
    <n v="2"/>
    <d v="2026-03-06T00:00:00"/>
    <d v="2026-03-06T16:03:20"/>
    <n v="5"/>
    <x v="2"/>
    <n v="2025"/>
    <s v="Sunday"/>
    <n v="1"/>
    <d v="1899-12-30T10:30:00"/>
    <n v="10"/>
    <n v="30"/>
    <m/>
  </r>
  <r>
    <n v="1018"/>
    <s v="13-01-2025"/>
    <x v="1"/>
    <s v="Sneha"/>
    <x v="0"/>
    <x v="0"/>
    <s v="Home Office"/>
    <n v="13"/>
    <n v="3000"/>
    <n v="0"/>
    <n v="39000"/>
    <n v="26000"/>
    <n v="13000"/>
    <s v="UPI"/>
    <s v="Pending"/>
    <s v="low sales"/>
    <b v="0"/>
    <b v="0"/>
    <b v="0"/>
    <n v="0.33333333333333331"/>
    <s v="SNEHA"/>
    <s v="sneha"/>
    <s v="SN"/>
    <s v="EHA"/>
    <s v="NE"/>
    <s v="SNEHA"/>
    <n v="5"/>
    <s v="Home Office"/>
    <s v="sneha-NE"/>
    <n v="2"/>
    <d v="2026-03-06T00:00:00"/>
    <d v="2026-03-06T16:03:20"/>
    <n v="13"/>
    <x v="2"/>
    <n v="2025"/>
    <s v="Monday"/>
    <n v="2"/>
    <d v="1899-12-30T10:30:00"/>
    <n v="10"/>
    <n v="30"/>
    <m/>
  </r>
  <r>
    <n v="1019"/>
    <s v="08-02-2025"/>
    <x v="3"/>
    <s v="Priya"/>
    <x v="1"/>
    <x v="2"/>
    <s v="Corporate"/>
    <n v="5"/>
    <n v="20000"/>
    <n v="0.08"/>
    <n v="92000"/>
    <n v="75000"/>
    <n v="17000"/>
    <s v="EMI"/>
    <s v="Delivered"/>
    <s v="low sales"/>
    <b v="0"/>
    <b v="0"/>
    <b v="0"/>
    <n v="0.18478260869565216"/>
    <s v="PRIYA"/>
    <s v="priya"/>
    <s v="PR"/>
    <s v="IYA"/>
    <s v="RI"/>
    <s v="PRIYA"/>
    <n v="5"/>
    <s v="Corporate"/>
    <s v="priya-RI"/>
    <n v="2"/>
    <d v="2026-03-06T00:00:00"/>
    <d v="2026-03-06T16:03:20"/>
    <n v="8"/>
    <x v="0"/>
    <n v="2025"/>
    <s v="Saturday"/>
    <n v="7"/>
    <d v="1899-12-30T10:30:00"/>
    <n v="10"/>
    <n v="30"/>
    <m/>
  </r>
  <r>
    <n v="1020"/>
    <s v="17-02-2025"/>
    <x v="3"/>
    <s v="Amit"/>
    <x v="0"/>
    <x v="3"/>
    <s v="Consumer"/>
    <n v="18"/>
    <n v="25000"/>
    <n v="0"/>
    <n v="450000"/>
    <n v="324000"/>
    <n v="126000"/>
    <s v="EMI"/>
    <s v="Cancelled"/>
    <s v="high sales"/>
    <b v="0"/>
    <b v="1"/>
    <b v="0"/>
    <n v="0.28000000000000003"/>
    <s v="AMIT"/>
    <s v="amit"/>
    <s v="AM"/>
    <s v="MIT"/>
    <s v="MI"/>
    <s v="AMMIT"/>
    <n v="4"/>
    <s v="Consumer"/>
    <s v="amit-MI"/>
    <n v="3"/>
    <d v="2026-03-06T00:00:00"/>
    <d v="2026-03-06T16:03:20"/>
    <n v="17"/>
    <x v="0"/>
    <n v="2025"/>
    <s v="Monday"/>
    <n v="2"/>
    <d v="1899-12-30T10:30:00"/>
    <n v="10"/>
    <n v="30"/>
    <m/>
  </r>
  <r>
    <n v="1021"/>
    <s v="01-03-2025"/>
    <x v="3"/>
    <s v="Amit"/>
    <x v="2"/>
    <x v="7"/>
    <s v="Corporate"/>
    <n v="7"/>
    <n v="500"/>
    <n v="0.05"/>
    <n v="3325"/>
    <n v="2450"/>
    <n v="875"/>
    <s v="Cash"/>
    <s v="Pending"/>
    <s v="low sales"/>
    <b v="0"/>
    <b v="1"/>
    <b v="0"/>
    <n v="0.26315789473684209"/>
    <s v="AMIT"/>
    <s v="amit"/>
    <s v="AM"/>
    <s v="MIT"/>
    <s v="MI"/>
    <s v="AMMIT"/>
    <n v="4"/>
    <s v="Corporate"/>
    <s v="amit-MI"/>
    <n v="3"/>
    <d v="2026-03-06T00:00:00"/>
    <d v="2026-03-06T16:03:20"/>
    <n v="1"/>
    <x v="1"/>
    <n v="2025"/>
    <s v="Saturday"/>
    <n v="7"/>
    <d v="1899-12-30T10:30:00"/>
    <n v="10"/>
    <n v="30"/>
    <m/>
  </r>
  <r>
    <n v="1022"/>
    <s v="23-02-2025"/>
    <x v="1"/>
    <s v="Sneha"/>
    <x v="1"/>
    <x v="9"/>
    <s v="Home Office"/>
    <n v="5"/>
    <n v="2000"/>
    <n v="0.05"/>
    <n v="9500"/>
    <n v="7500"/>
    <n v="2000"/>
    <s v="Cash"/>
    <s v="Pending"/>
    <s v="low sales"/>
    <b v="0"/>
    <b v="1"/>
    <b v="0"/>
    <n v="0.21052631578947367"/>
    <s v="SNEHA"/>
    <s v="sneha"/>
    <s v="SN"/>
    <s v="EHA"/>
    <s v="NE"/>
    <s v="SNEHA"/>
    <n v="5"/>
    <s v="Home Office"/>
    <s v="sneha-NE"/>
    <n v="2"/>
    <d v="2026-03-06T00:00:00"/>
    <d v="2026-03-06T16:03:20"/>
    <n v="23"/>
    <x v="0"/>
    <n v="2025"/>
    <s v="Sunday"/>
    <n v="1"/>
    <d v="1899-12-30T10:30:00"/>
    <n v="10"/>
    <n v="30"/>
    <m/>
  </r>
  <r>
    <n v="1023"/>
    <s v="18-02-2025"/>
    <x v="2"/>
    <s v="Amit"/>
    <x v="0"/>
    <x v="0"/>
    <s v="Home Office"/>
    <n v="4"/>
    <n v="3000"/>
    <n v="0.08"/>
    <n v="11040"/>
    <n v="8000"/>
    <n v="3040"/>
    <s v="Card"/>
    <s v="Delivered"/>
    <s v="low sales"/>
    <b v="0"/>
    <b v="0"/>
    <b v="0"/>
    <n v="0.27536231884057971"/>
    <s v="AMIT"/>
    <s v="amit"/>
    <s v="AM"/>
    <s v="MIT"/>
    <s v="MI"/>
    <s v="AMMIT"/>
    <n v="4"/>
    <s v="Home Office"/>
    <s v="amit-MI"/>
    <n v="3"/>
    <d v="2026-03-06T00:00:00"/>
    <d v="2026-03-06T16:03:20"/>
    <n v="18"/>
    <x v="0"/>
    <n v="2025"/>
    <s v="Tuesday"/>
    <n v="3"/>
    <d v="1899-12-30T10:30:00"/>
    <n v="10"/>
    <n v="30"/>
    <m/>
  </r>
  <r>
    <n v="1024"/>
    <s v="16-01-2025"/>
    <x v="2"/>
    <s v="Amit"/>
    <x v="0"/>
    <x v="4"/>
    <s v="Corporate"/>
    <n v="4"/>
    <n v="35000"/>
    <n v="0"/>
    <n v="140000"/>
    <n v="100000"/>
    <n v="40000"/>
    <s v="UPI"/>
    <s v="Delivered"/>
    <s v="low sales"/>
    <b v="0"/>
    <b v="0"/>
    <b v="0"/>
    <n v="0.2857142857142857"/>
    <s v="AMIT"/>
    <s v="amit"/>
    <s v="AM"/>
    <s v="MIT"/>
    <s v="MI"/>
    <s v="AMMIT"/>
    <n v="4"/>
    <s v="Corporate"/>
    <s v="amit-MI"/>
    <n v="3"/>
    <d v="2026-03-06T00:00:00"/>
    <d v="2026-03-06T16:03:20"/>
    <n v="16"/>
    <x v="2"/>
    <n v="2025"/>
    <s v="Thursday"/>
    <n v="5"/>
    <d v="1899-12-30T10:30:00"/>
    <n v="10"/>
    <n v="30"/>
    <m/>
  </r>
  <r>
    <n v="1025"/>
    <s v="01-01-2025"/>
    <x v="2"/>
    <s v="Priya"/>
    <x v="1"/>
    <x v="9"/>
    <s v="Corporate"/>
    <n v="19"/>
    <n v="2000"/>
    <n v="0.15"/>
    <n v="32300"/>
    <n v="28500"/>
    <n v="3800"/>
    <s v="Card"/>
    <s v="Delivered"/>
    <s v="low sales"/>
    <b v="0"/>
    <b v="0"/>
    <b v="0"/>
    <n v="0.11764705882352941"/>
    <s v="PRIYA"/>
    <s v="priya"/>
    <s v="PR"/>
    <s v="IYA"/>
    <s v="RI"/>
    <s v="PRIYA"/>
    <n v="5"/>
    <s v="Corporate"/>
    <s v="priya-RI"/>
    <n v="2"/>
    <d v="2026-03-06T00:00:00"/>
    <d v="2026-03-06T16:03:20"/>
    <n v="1"/>
    <x v="2"/>
    <n v="2025"/>
    <s v="Wednesday"/>
    <n v="4"/>
    <d v="1899-12-30T10:30:00"/>
    <n v="10"/>
    <n v="30"/>
    <m/>
  </r>
  <r>
    <n v="1026"/>
    <s v="04-01-2025"/>
    <x v="3"/>
    <s v="Amit"/>
    <x v="2"/>
    <x v="7"/>
    <s v="Corporate"/>
    <n v="17"/>
    <n v="500"/>
    <n v="0.05"/>
    <n v="8075"/>
    <n v="5950"/>
    <n v="2125"/>
    <s v="EMI"/>
    <s v="Pending"/>
    <s v="low sales"/>
    <b v="0"/>
    <b v="0"/>
    <b v="0"/>
    <n v="0.26315789473684209"/>
    <s v="AMIT"/>
    <s v="amit"/>
    <s v="AM"/>
    <s v="MIT"/>
    <s v="MI"/>
    <s v="AMMIT"/>
    <n v="4"/>
    <s v="Corporate"/>
    <s v="amit-MI"/>
    <n v="3"/>
    <d v="2026-03-06T00:00:00"/>
    <d v="2026-03-06T16:03:20"/>
    <n v="4"/>
    <x v="2"/>
    <n v="2025"/>
    <s v="Saturday"/>
    <n v="7"/>
    <d v="1899-12-30T10:30:00"/>
    <n v="10"/>
    <n v="30"/>
    <m/>
  </r>
  <r>
    <n v="1027"/>
    <s v="02-02-2025"/>
    <x v="0"/>
    <s v="Priya"/>
    <x v="1"/>
    <x v="2"/>
    <s v="Corporate"/>
    <n v="16"/>
    <n v="20000"/>
    <n v="0.02"/>
    <n v="313600"/>
    <n v="240000"/>
    <n v="73600"/>
    <s v="Cash"/>
    <s v="Pending"/>
    <s v="low sales"/>
    <b v="1"/>
    <b v="1"/>
    <b v="0"/>
    <n v="0.23469387755102042"/>
    <s v="PRIYA"/>
    <s v="priya"/>
    <s v="PR"/>
    <s v="IYA"/>
    <s v="RI"/>
    <s v="PRIYA"/>
    <n v="5"/>
    <s v="Corporate"/>
    <s v="priya-RI"/>
    <n v="2"/>
    <d v="2026-03-06T00:00:00"/>
    <d v="2026-03-06T16:03:20"/>
    <n v="2"/>
    <x v="0"/>
    <n v="2025"/>
    <s v="Sunday"/>
    <n v="1"/>
    <d v="1899-12-30T10:30:00"/>
    <n v="10"/>
    <n v="30"/>
    <m/>
  </r>
  <r>
    <n v="1028"/>
    <s v="15-01-2025"/>
    <x v="0"/>
    <s v="Rahul"/>
    <x v="0"/>
    <x v="3"/>
    <s v="Corporate"/>
    <n v="9"/>
    <n v="25000"/>
    <n v="0.15"/>
    <n v="191250"/>
    <n v="162000"/>
    <n v="29250"/>
    <s v="Cash"/>
    <s v="Pending"/>
    <s v="low sales"/>
    <b v="0"/>
    <b v="1"/>
    <b v="0"/>
    <n v="0.15294117647058825"/>
    <s v="RAHUL"/>
    <s v="rahul"/>
    <s v="RA"/>
    <s v="HUL"/>
    <s v="AH"/>
    <s v="RAHUL"/>
    <n v="5"/>
    <s v="Corporate"/>
    <s v="rahul-AH"/>
    <n v="2"/>
    <d v="2026-03-06T00:00:00"/>
    <d v="2026-03-06T16:03:20"/>
    <n v="15"/>
    <x v="2"/>
    <n v="2025"/>
    <s v="Wednesday"/>
    <n v="4"/>
    <d v="1899-12-30T10:30:00"/>
    <n v="10"/>
    <n v="30"/>
    <m/>
  </r>
  <r>
    <n v="1029"/>
    <s v="04-02-2025"/>
    <x v="0"/>
    <s v="Sneha"/>
    <x v="0"/>
    <x v="5"/>
    <s v="Home Office"/>
    <n v="20"/>
    <n v="12000"/>
    <n v="0.15"/>
    <n v="204000"/>
    <n v="160000"/>
    <n v="44000"/>
    <s v="EMI"/>
    <s v="Cancelled"/>
    <s v="low sales"/>
    <b v="0"/>
    <b v="0"/>
    <b v="0"/>
    <n v="0.21568627450980393"/>
    <s v="SNEHA"/>
    <s v="sneha"/>
    <s v="SN"/>
    <s v="EHA"/>
    <s v="NE"/>
    <s v="SNEHA"/>
    <n v="5"/>
    <s v="Home Office"/>
    <s v="sneha-NE"/>
    <n v="2"/>
    <d v="2026-03-06T00:00:00"/>
    <d v="2026-03-06T16:03:20"/>
    <n v="4"/>
    <x v="0"/>
    <n v="2025"/>
    <s v="Tuesday"/>
    <n v="3"/>
    <d v="1899-12-30T10:30:00"/>
    <n v="10"/>
    <n v="30"/>
    <m/>
  </r>
  <r>
    <n v="1030"/>
    <s v="28-01-2025"/>
    <x v="3"/>
    <s v="Rahul"/>
    <x v="1"/>
    <x v="1"/>
    <s v="Corporate"/>
    <n v="13"/>
    <n v="15000"/>
    <n v="0.1"/>
    <n v="175500"/>
    <n v="156000"/>
    <n v="19500"/>
    <s v="EMI"/>
    <s v="Cancelled"/>
    <s v="low sales"/>
    <b v="0"/>
    <b v="0"/>
    <b v="0"/>
    <n v="0.1111111111111111"/>
    <s v="RAHUL"/>
    <s v="rahul"/>
    <s v="RA"/>
    <s v="HUL"/>
    <s v="AH"/>
    <s v="RAHUL"/>
    <n v="5"/>
    <s v="Corporate"/>
    <s v="rahul-AH"/>
    <n v="2"/>
    <d v="2026-03-06T00:00:00"/>
    <d v="2026-03-06T16:03:20"/>
    <n v="28"/>
    <x v="2"/>
    <n v="2025"/>
    <s v="Tuesday"/>
    <n v="3"/>
    <d v="1899-12-30T10:30:00"/>
    <n v="10"/>
    <n v="30"/>
    <m/>
  </r>
  <r>
    <n v="1031"/>
    <s v="06-02-2025"/>
    <x v="2"/>
    <s v="Sneha"/>
    <x v="1"/>
    <x v="9"/>
    <s v="Home Office"/>
    <n v="14"/>
    <n v="2000"/>
    <n v="0.08"/>
    <n v="25760"/>
    <n v="21000"/>
    <n v="4760"/>
    <s v="UPI"/>
    <s v="Delivered"/>
    <s v="low sales"/>
    <b v="0"/>
    <b v="0"/>
    <b v="0"/>
    <n v="0.18478260869565216"/>
    <s v="SNEHA"/>
    <s v="sneha"/>
    <s v="SN"/>
    <s v="EHA"/>
    <s v="NE"/>
    <s v="SNEHA"/>
    <n v="5"/>
    <s v="Home Office"/>
    <s v="sneha-NE"/>
    <n v="2"/>
    <d v="2026-03-06T00:00:00"/>
    <d v="2026-03-06T16:03:20"/>
    <n v="6"/>
    <x v="0"/>
    <n v="2025"/>
    <s v="Thursday"/>
    <n v="5"/>
    <d v="1899-12-30T10:30:00"/>
    <n v="10"/>
    <n v="30"/>
    <m/>
  </r>
  <r>
    <n v="1032"/>
    <s v="14-02-2025"/>
    <x v="0"/>
    <s v="Rahul"/>
    <x v="2"/>
    <x v="10"/>
    <s v="Consumer"/>
    <n v="14"/>
    <n v="200"/>
    <n v="0.05"/>
    <n v="2660"/>
    <n v="1680"/>
    <n v="980"/>
    <s v="Card"/>
    <s v="Pending"/>
    <s v="low sales"/>
    <b v="0"/>
    <b v="0"/>
    <b v="0"/>
    <n v="0.36842105263157893"/>
    <s v="RAHUL"/>
    <s v="rahul"/>
    <s v="RA"/>
    <s v="HUL"/>
    <s v="AH"/>
    <s v="RAHUL"/>
    <n v="5"/>
    <s v="Consumer"/>
    <s v="rahul-AH"/>
    <n v="2"/>
    <d v="2026-03-06T00:00:00"/>
    <d v="2026-03-06T16:03:20"/>
    <n v="14"/>
    <x v="0"/>
    <n v="2025"/>
    <s v="Friday"/>
    <n v="6"/>
    <d v="1899-12-30T10:30:00"/>
    <n v="10"/>
    <n v="30"/>
    <m/>
  </r>
  <r>
    <n v="1033"/>
    <s v="15-02-2025"/>
    <x v="0"/>
    <s v="Priya"/>
    <x v="1"/>
    <x v="8"/>
    <s v="Home Office"/>
    <n v="1"/>
    <n v="55000"/>
    <n v="0"/>
    <n v="55000"/>
    <n v="50000"/>
    <n v="5000"/>
    <s v="EMI"/>
    <s v="Cancelled"/>
    <s v="low sales"/>
    <b v="0"/>
    <b v="0"/>
    <b v="0"/>
    <n v="9.0909090909090912E-2"/>
    <s v="PRIYA"/>
    <s v="priya"/>
    <s v="PR"/>
    <s v="IYA"/>
    <s v="RI"/>
    <s v="PRIYA"/>
    <n v="5"/>
    <s v="Home Office"/>
    <s v="priya-RI"/>
    <n v="2"/>
    <d v="2026-03-06T00:00:00"/>
    <d v="2026-03-06T16:03:20"/>
    <n v="15"/>
    <x v="0"/>
    <n v="2025"/>
    <s v="Saturday"/>
    <n v="7"/>
    <d v="1899-12-30T10:30:00"/>
    <n v="10"/>
    <n v="30"/>
    <m/>
  </r>
  <r>
    <n v="1034"/>
    <s v="27-01-2025"/>
    <x v="2"/>
    <s v="Rahul"/>
    <x v="2"/>
    <x v="7"/>
    <s v="Corporate"/>
    <n v="1"/>
    <n v="500"/>
    <n v="0.02"/>
    <n v="490"/>
    <n v="350"/>
    <n v="140"/>
    <s v="Card"/>
    <s v="Delivered"/>
    <s v="low sales"/>
    <b v="0"/>
    <b v="0"/>
    <b v="1"/>
    <n v="0.2857142857142857"/>
    <s v="RAHUL"/>
    <s v="rahul"/>
    <s v="RA"/>
    <s v="HUL"/>
    <s v="AH"/>
    <s v="RAHUL"/>
    <n v="5"/>
    <s v="Corporate"/>
    <s v="rahul-AH"/>
    <n v="2"/>
    <d v="2026-03-06T00:00:00"/>
    <d v="2026-03-06T16:03:20"/>
    <n v="27"/>
    <x v="2"/>
    <n v="2025"/>
    <s v="Monday"/>
    <n v="2"/>
    <d v="1899-12-30T10:30:00"/>
    <n v="10"/>
    <n v="30"/>
    <m/>
  </r>
  <r>
    <n v="1035"/>
    <s v="23-01-2025"/>
    <x v="0"/>
    <s v="Sneha"/>
    <x v="2"/>
    <x v="7"/>
    <s v="Consumer"/>
    <n v="12"/>
    <n v="500"/>
    <n v="0.08"/>
    <n v="5520"/>
    <n v="4200"/>
    <n v="1320"/>
    <s v="UPI"/>
    <s v="Pending"/>
    <s v="low sales"/>
    <b v="0"/>
    <b v="0"/>
    <b v="0"/>
    <n v="0.2391304347826087"/>
    <s v="SNEHA"/>
    <s v="sneha"/>
    <s v="SN"/>
    <s v="EHA"/>
    <s v="NE"/>
    <s v="SNEHA"/>
    <n v="5"/>
    <s v="Consumer"/>
    <s v="sneha-NE"/>
    <n v="2"/>
    <d v="2026-03-06T00:00:00"/>
    <d v="2026-03-06T16:03:20"/>
    <n v="23"/>
    <x v="2"/>
    <n v="2025"/>
    <s v="Thursday"/>
    <n v="5"/>
    <d v="1899-12-30T10:30:00"/>
    <n v="10"/>
    <n v="30"/>
    <m/>
  </r>
  <r>
    <n v="1036"/>
    <s v="31-01-2025"/>
    <x v="0"/>
    <s v="Rahul"/>
    <x v="0"/>
    <x v="0"/>
    <s v="Home Office"/>
    <n v="8"/>
    <n v="3000"/>
    <n v="0"/>
    <n v="24000"/>
    <n v="16000"/>
    <n v="8000"/>
    <s v="UPI"/>
    <s v="Cancelled"/>
    <s v="low sales"/>
    <b v="0"/>
    <b v="0"/>
    <b v="0"/>
    <n v="0.33333333333333331"/>
    <s v="RAHUL"/>
    <s v="rahul"/>
    <s v="RA"/>
    <s v="HUL"/>
    <s v="AH"/>
    <s v="RAHUL"/>
    <n v="5"/>
    <s v="Home Office"/>
    <s v="rahul-AH"/>
    <n v="2"/>
    <d v="2026-03-06T00:00:00"/>
    <d v="2026-03-06T16:03:20"/>
    <n v="31"/>
    <x v="2"/>
    <n v="2025"/>
    <s v="Friday"/>
    <n v="6"/>
    <d v="1899-12-30T10:30:00"/>
    <n v="10"/>
    <n v="30"/>
    <m/>
  </r>
  <r>
    <n v="1037"/>
    <s v="04-01-2025"/>
    <x v="3"/>
    <s v="Sneha"/>
    <x v="1"/>
    <x v="9"/>
    <s v="Corporate"/>
    <n v="20"/>
    <n v="2000"/>
    <n v="0.08"/>
    <n v="36800"/>
    <n v="30000"/>
    <n v="6800"/>
    <s v="EMI"/>
    <s v="Pending"/>
    <s v="low sales"/>
    <b v="0"/>
    <b v="0"/>
    <b v="0"/>
    <n v="0.18478260869565216"/>
    <s v="SNEHA"/>
    <s v="sneha"/>
    <s v="SN"/>
    <s v="EHA"/>
    <s v="NE"/>
    <s v="SNEHA"/>
    <n v="5"/>
    <s v="Corporate"/>
    <s v="sneha-NE"/>
    <n v="2"/>
    <d v="2026-03-06T00:00:00"/>
    <d v="2026-03-06T16:03:20"/>
    <n v="4"/>
    <x v="2"/>
    <n v="2025"/>
    <s v="Saturday"/>
    <n v="7"/>
    <d v="1899-12-30T10:30:00"/>
    <n v="10"/>
    <n v="30"/>
    <m/>
  </r>
  <r>
    <n v="1038"/>
    <s v="26-01-2025"/>
    <x v="1"/>
    <s v="Rahul"/>
    <x v="2"/>
    <x v="6"/>
    <s v="Consumer"/>
    <n v="12"/>
    <n v="100"/>
    <n v="0.08"/>
    <n v="1104"/>
    <n v="600"/>
    <n v="504"/>
    <s v="EMI"/>
    <s v="Delivered"/>
    <s v="low sales"/>
    <b v="0"/>
    <b v="0"/>
    <b v="0"/>
    <n v="0.45652173913043476"/>
    <s v="RAHUL"/>
    <s v="rahul"/>
    <s v="RA"/>
    <s v="HUL"/>
    <s v="AH"/>
    <s v="RAHUL"/>
    <n v="5"/>
    <s v="Consumer"/>
    <s v="rahul-AH"/>
    <n v="2"/>
    <d v="2026-03-06T00:00:00"/>
    <d v="2026-03-06T16:03:20"/>
    <n v="26"/>
    <x v="2"/>
    <n v="2025"/>
    <s v="Sunday"/>
    <n v="1"/>
    <d v="1899-12-30T10:30:00"/>
    <n v="10"/>
    <n v="30"/>
    <m/>
  </r>
  <r>
    <n v="1039"/>
    <s v="11-01-2025"/>
    <x v="2"/>
    <s v="Priya"/>
    <x v="1"/>
    <x v="2"/>
    <s v="Corporate"/>
    <n v="5"/>
    <n v="20000"/>
    <n v="0.1"/>
    <n v="90000"/>
    <n v="75000"/>
    <n v="15000"/>
    <s v="UPI"/>
    <s v="Pending"/>
    <s v="low sales"/>
    <b v="0"/>
    <b v="0"/>
    <b v="0"/>
    <n v="0.16666666666666666"/>
    <s v="PRIYA"/>
    <s v="priya"/>
    <s v="PR"/>
    <s v="IYA"/>
    <s v="RI"/>
    <s v="PRIYA"/>
    <n v="5"/>
    <s v="Corporate"/>
    <s v="priya-RI"/>
    <n v="2"/>
    <d v="2026-03-06T00:00:00"/>
    <d v="2026-03-06T16:03:20"/>
    <n v="11"/>
    <x v="2"/>
    <n v="2025"/>
    <s v="Saturday"/>
    <n v="7"/>
    <d v="1899-12-30T10:30:00"/>
    <n v="10"/>
    <n v="30"/>
    <m/>
  </r>
  <r>
    <n v="1040"/>
    <s v="04-01-2025"/>
    <x v="1"/>
    <s v="Rahul"/>
    <x v="0"/>
    <x v="5"/>
    <s v="Consumer"/>
    <n v="1"/>
    <n v="12000"/>
    <n v="0"/>
    <n v="12000"/>
    <n v="8000"/>
    <n v="4000"/>
    <s v="EMI"/>
    <s v="Delivered"/>
    <s v="low sales"/>
    <b v="0"/>
    <b v="0"/>
    <b v="0"/>
    <n v="0.33333333333333331"/>
    <s v="RAHUL"/>
    <s v="rahul"/>
    <s v="RA"/>
    <s v="HUL"/>
    <s v="AH"/>
    <s v="RAHUL"/>
    <n v="5"/>
    <s v="Consumer"/>
    <s v="rahul-AH"/>
    <n v="2"/>
    <d v="2026-03-06T00:00:00"/>
    <d v="2026-03-06T16:03:20"/>
    <n v="4"/>
    <x v="2"/>
    <n v="2025"/>
    <s v="Saturday"/>
    <n v="7"/>
    <d v="1899-12-30T10:30:00"/>
    <n v="10"/>
    <n v="30"/>
    <m/>
  </r>
  <r>
    <n v="1041"/>
    <s v="15-02-2025"/>
    <x v="1"/>
    <s v="Priya"/>
    <x v="2"/>
    <x v="10"/>
    <s v="Corporate"/>
    <n v="19"/>
    <n v="200"/>
    <n v="0"/>
    <n v="3800"/>
    <n v="2280"/>
    <n v="1520"/>
    <s v="Card"/>
    <s v="Pending"/>
    <s v="low sales"/>
    <b v="0"/>
    <b v="0"/>
    <b v="0"/>
    <n v="0.4"/>
    <s v="PRIYA"/>
    <s v="priya"/>
    <s v="PR"/>
    <s v="IYA"/>
    <s v="RI"/>
    <s v="PRIYA"/>
    <n v="5"/>
    <s v="Corporate"/>
    <s v="priya-RI"/>
    <n v="2"/>
    <d v="2026-03-06T00:00:00"/>
    <d v="2026-03-06T16:03:20"/>
    <n v="15"/>
    <x v="0"/>
    <n v="2025"/>
    <s v="Saturday"/>
    <n v="7"/>
    <d v="1899-12-30T10:30:00"/>
    <n v="10"/>
    <n v="30"/>
    <m/>
  </r>
  <r>
    <n v="1042"/>
    <s v="10-01-2025"/>
    <x v="0"/>
    <s v="Amit"/>
    <x v="2"/>
    <x v="6"/>
    <s v="Consumer"/>
    <n v="4"/>
    <n v="100"/>
    <n v="0.02"/>
    <n v="0"/>
    <n v="200"/>
    <n v="192"/>
    <s v="Cash"/>
    <s v="Pending"/>
    <s v="low sales"/>
    <b v="0"/>
    <b v="1"/>
    <b v="1"/>
    <s v="no sales"/>
    <s v="AMIT"/>
    <s v="amit"/>
    <s v="AM"/>
    <s v="MIT"/>
    <s v="MI"/>
    <s v="AMMIT"/>
    <n v="4"/>
    <s v="Consumer"/>
    <s v="amit-MI"/>
    <n v="3"/>
    <d v="2026-03-06T00:00:00"/>
    <d v="2026-03-06T16:03:20"/>
    <n v="10"/>
    <x v="2"/>
    <n v="2025"/>
    <s v="Friday"/>
    <n v="6"/>
    <d v="1899-12-30T10:30:00"/>
    <n v="10"/>
    <n v="30"/>
    <m/>
  </r>
  <r>
    <n v="1043"/>
    <s v="10-01-2025"/>
    <x v="1"/>
    <s v="Priya"/>
    <x v="1"/>
    <x v="8"/>
    <s v="Corporate"/>
    <n v="2"/>
    <n v="55000"/>
    <n v="0.08"/>
    <n v="101200"/>
    <n v="100000"/>
    <n v="1200"/>
    <s v="Cash"/>
    <s v="Cancelled"/>
    <s v="low sales"/>
    <b v="0"/>
    <b v="1"/>
    <b v="0"/>
    <n v="1.1857707509881422E-2"/>
    <s v="PRIYA"/>
    <s v="priya"/>
    <s v="PR"/>
    <s v="IYA"/>
    <s v="RI"/>
    <s v="PRIYA"/>
    <n v="5"/>
    <s v="Corporate"/>
    <s v="priya-RI"/>
    <n v="2"/>
    <d v="2026-03-06T00:00:00"/>
    <d v="2026-03-06T16:03:20"/>
    <n v="10"/>
    <x v="2"/>
    <n v="2025"/>
    <s v="Friday"/>
    <n v="6"/>
    <d v="1899-12-30T10:30:00"/>
    <n v="10"/>
    <n v="30"/>
    <m/>
  </r>
  <r>
    <n v="1044"/>
    <s v="12-01-2025"/>
    <x v="2"/>
    <s v="Amit"/>
    <x v="0"/>
    <x v="0"/>
    <s v="Corporate"/>
    <n v="19"/>
    <n v="3000"/>
    <n v="0"/>
    <n v="57000"/>
    <n v="38000"/>
    <n v="19000"/>
    <s v="EMI"/>
    <s v="Delivered"/>
    <s v="low sales"/>
    <b v="0"/>
    <b v="0"/>
    <b v="0"/>
    <n v="0.33333333333333331"/>
    <s v="AMIT"/>
    <s v="amit"/>
    <s v="AM"/>
    <s v="MIT"/>
    <s v="MI"/>
    <s v="AMMIT"/>
    <n v="4"/>
    <s v="Corporate"/>
    <s v="amit-MI"/>
    <n v="3"/>
    <d v="2026-03-06T00:00:00"/>
    <d v="2026-03-06T16:03:20"/>
    <n v="12"/>
    <x v="2"/>
    <n v="2025"/>
    <s v="Sunday"/>
    <n v="1"/>
    <d v="1899-12-30T10:30:00"/>
    <n v="10"/>
    <n v="30"/>
    <m/>
  </r>
  <r>
    <n v="1045"/>
    <s v="07-01-2025"/>
    <x v="0"/>
    <s v="Priya"/>
    <x v="1"/>
    <x v="8"/>
    <s v="Consumer"/>
    <n v="19"/>
    <n v="55000"/>
    <n v="0.1"/>
    <n v="940500"/>
    <n v="950000"/>
    <n v="-9500"/>
    <s v="Card"/>
    <s v="Delivered"/>
    <s v="high sales"/>
    <b v="0"/>
    <b v="1"/>
    <b v="0"/>
    <n v="-1.0101010101010102E-2"/>
    <s v="PRIYA"/>
    <s v="priya"/>
    <s v="PR"/>
    <s v="IYA"/>
    <s v="RI"/>
    <s v="PRIYA"/>
    <n v="5"/>
    <s v="Consumer"/>
    <s v="priya-RI"/>
    <n v="2"/>
    <d v="2026-03-06T00:00:00"/>
    <d v="2026-03-06T16:03:20"/>
    <n v="7"/>
    <x v="2"/>
    <n v="2025"/>
    <s v="Tuesday"/>
    <n v="3"/>
    <d v="1899-12-30T10:30:00"/>
    <n v="10"/>
    <n v="30"/>
    <m/>
  </r>
  <r>
    <n v="1046"/>
    <s v="23-02-2025"/>
    <x v="1"/>
    <s v="Sneha"/>
    <x v="0"/>
    <x v="4"/>
    <s v="Consumer"/>
    <n v="18"/>
    <n v="35000"/>
    <n v="0.02"/>
    <n v="617400"/>
    <n v="450000"/>
    <n v="167400"/>
    <s v="UPI"/>
    <s v="Pending"/>
    <s v="high sales"/>
    <b v="0"/>
    <b v="1"/>
    <b v="0"/>
    <n v="0.27113702623906705"/>
    <s v="SNEHA"/>
    <s v="sneha"/>
    <s v="SN"/>
    <s v="EHA"/>
    <s v="NE"/>
    <s v="SNEHA"/>
    <n v="5"/>
    <s v="Consumer"/>
    <s v="sneha-NE"/>
    <n v="2"/>
    <d v="2026-03-06T00:00:00"/>
    <d v="2026-03-06T16:03:20"/>
    <n v="23"/>
    <x v="0"/>
    <n v="2025"/>
    <s v="Sunday"/>
    <n v="1"/>
    <d v="1899-12-30T10:30:00"/>
    <n v="10"/>
    <n v="30"/>
    <m/>
  </r>
  <r>
    <n v="1047"/>
    <s v="29-01-2025"/>
    <x v="0"/>
    <s v="Priya"/>
    <x v="0"/>
    <x v="5"/>
    <s v="Home Office"/>
    <n v="10"/>
    <n v="12000"/>
    <n v="0.05"/>
    <n v="114000"/>
    <n v="80000"/>
    <n v="34000"/>
    <s v="UPI"/>
    <s v="Delivered"/>
    <s v="low sales"/>
    <b v="0"/>
    <b v="0"/>
    <b v="0"/>
    <n v="0.2982456140350877"/>
    <s v="PRIYA"/>
    <s v="priya"/>
    <s v="PR"/>
    <s v="IYA"/>
    <s v="RI"/>
    <s v="PRIYA"/>
    <n v="5"/>
    <s v="Home Office"/>
    <s v="priya-RI"/>
    <n v="2"/>
    <d v="2026-03-06T00:00:00"/>
    <d v="2026-03-06T16:03:20"/>
    <n v="29"/>
    <x v="2"/>
    <n v="2025"/>
    <s v="Wednesday"/>
    <n v="4"/>
    <d v="1899-12-30T10:30:00"/>
    <n v="10"/>
    <n v="30"/>
    <m/>
  </r>
  <r>
    <n v="1048"/>
    <s v="09-01-2025"/>
    <x v="3"/>
    <s v="Priya"/>
    <x v="1"/>
    <x v="1"/>
    <s v="Corporate"/>
    <n v="19"/>
    <n v="15000"/>
    <n v="0"/>
    <n v="285000"/>
    <n v="228000"/>
    <n v="57000"/>
    <s v="EMI"/>
    <s v="Delivered"/>
    <s v="low sales"/>
    <b v="0"/>
    <b v="0"/>
    <b v="0"/>
    <n v="0.2"/>
    <s v="PRIYA"/>
    <s v="priya"/>
    <s v="PR"/>
    <s v="IYA"/>
    <s v="RI"/>
    <s v="PRIYA"/>
    <n v="5"/>
    <s v="Corporate"/>
    <s v="priya-RI"/>
    <n v="2"/>
    <d v="2026-03-06T00:00:00"/>
    <d v="2026-03-06T16:03:20"/>
    <n v="9"/>
    <x v="2"/>
    <n v="2025"/>
    <s v="Thursday"/>
    <n v="5"/>
    <d v="1899-12-30T10:30:00"/>
    <n v="10"/>
    <n v="30"/>
    <m/>
  </r>
  <r>
    <n v="1049"/>
    <s v="16-02-2025"/>
    <x v="0"/>
    <s v="Priya"/>
    <x v="1"/>
    <x v="2"/>
    <s v="Consumer"/>
    <n v="3"/>
    <n v="20000"/>
    <n v="0"/>
    <n v="60000"/>
    <n v="45000"/>
    <n v="15000"/>
    <s v="UPI"/>
    <s v="Pending"/>
    <s v="low sales"/>
    <b v="0"/>
    <b v="0"/>
    <b v="0"/>
    <n v="0.25"/>
    <s v="PRIYA"/>
    <s v="priya"/>
    <s v="PR"/>
    <s v="IYA"/>
    <s v="RI"/>
    <s v="PRIYA"/>
    <n v="5"/>
    <s v="Consumer"/>
    <s v="priya-RI"/>
    <n v="2"/>
    <d v="2026-03-06T00:00:00"/>
    <d v="2026-03-06T16:03:20"/>
    <n v="16"/>
    <x v="0"/>
    <n v="2025"/>
    <s v="Sunday"/>
    <n v="1"/>
    <d v="1899-12-30T10:30:00"/>
    <n v="10"/>
    <n v="30"/>
    <m/>
  </r>
  <r>
    <n v="1050"/>
    <s v="26-01-2025"/>
    <x v="3"/>
    <s v="Rahul"/>
    <x v="1"/>
    <x v="2"/>
    <s v="Home Office"/>
    <n v="11"/>
    <n v="20000"/>
    <n v="0.02"/>
    <n v="215600"/>
    <n v="165000"/>
    <n v="50600"/>
    <s v="UPI"/>
    <s v="Cancelled"/>
    <s v="low sales"/>
    <b v="0"/>
    <b v="0"/>
    <b v="0"/>
    <n v="0.23469387755102042"/>
    <s v="RAHUL"/>
    <s v="rahul"/>
    <s v="RA"/>
    <s v="HUL"/>
    <s v="AH"/>
    <s v="RAHUL"/>
    <n v="5"/>
    <s v="Home Office"/>
    <s v="rahul-AH"/>
    <n v="2"/>
    <d v="2026-03-06T00:00:00"/>
    <d v="2026-03-06T16:03:20"/>
    <n v="26"/>
    <x v="2"/>
    <n v="2025"/>
    <s v="Sunday"/>
    <n v="1"/>
    <d v="1899-12-30T10:30:00"/>
    <n v="10"/>
    <n v="30"/>
    <m/>
  </r>
  <r>
    <n v="1051"/>
    <s v="05-02-2025"/>
    <x v="2"/>
    <s v="Priya"/>
    <x v="0"/>
    <x v="0"/>
    <s v="Corporate"/>
    <n v="9"/>
    <n v="3000"/>
    <n v="0.05"/>
    <n v="25650"/>
    <n v="18000"/>
    <n v="7650"/>
    <s v="EMI"/>
    <s v="Delivered"/>
    <s v="low sales"/>
    <b v="0"/>
    <b v="0"/>
    <b v="0"/>
    <n v="0.2982456140350877"/>
    <s v="PRIYA"/>
    <s v="priya"/>
    <s v="PR"/>
    <s v="IYA"/>
    <s v="RI"/>
    <s v="PRIYA"/>
    <n v="5"/>
    <s v="Corporate"/>
    <s v="priya-RI"/>
    <n v="2"/>
    <d v="2026-03-06T00:00:00"/>
    <d v="2026-03-06T16:03:20"/>
    <n v="5"/>
    <x v="0"/>
    <n v="2025"/>
    <s v="Wednesday"/>
    <n v="4"/>
    <d v="1899-12-30T10:30:00"/>
    <n v="10"/>
    <n v="30"/>
    <m/>
  </r>
  <r>
    <n v="1052"/>
    <s v="20-02-2025"/>
    <x v="0"/>
    <s v="Sneha"/>
    <x v="0"/>
    <x v="0"/>
    <s v="Corporate"/>
    <n v="5"/>
    <n v="3000"/>
    <n v="0.05"/>
    <n v="14250"/>
    <n v="10000"/>
    <n v="4250"/>
    <s v="UPI"/>
    <s v="Delivered"/>
    <s v="low sales"/>
    <b v="0"/>
    <b v="0"/>
    <b v="0"/>
    <n v="0.2982456140350877"/>
    <s v="SNEHA"/>
    <s v="sneha"/>
    <s v="SN"/>
    <s v="EHA"/>
    <s v="NE"/>
    <s v="SNEHA"/>
    <n v="5"/>
    <s v="Corporate"/>
    <s v="sneha-NE"/>
    <n v="2"/>
    <d v="2026-03-06T00:00:00"/>
    <d v="2026-03-06T16:03:20"/>
    <n v="20"/>
    <x v="0"/>
    <n v="2025"/>
    <s v="Thursday"/>
    <n v="5"/>
    <d v="1899-12-30T10:30:00"/>
    <n v="10"/>
    <n v="30"/>
    <m/>
  </r>
  <r>
    <n v="1053"/>
    <s v="13-02-2025"/>
    <x v="0"/>
    <s v="Sneha"/>
    <x v="2"/>
    <x v="7"/>
    <s v="Corporate"/>
    <n v="4"/>
    <n v="500"/>
    <n v="0.15"/>
    <n v="1700"/>
    <n v="1400"/>
    <n v="300"/>
    <s v="Card"/>
    <s v="Pending"/>
    <s v="low sales"/>
    <b v="0"/>
    <b v="0"/>
    <b v="0"/>
    <n v="0.17647058823529413"/>
    <s v="SNEHA"/>
    <s v="sneha"/>
    <s v="SN"/>
    <s v="EHA"/>
    <s v="NE"/>
    <s v="SNEHA"/>
    <n v="5"/>
    <s v="Corporate"/>
    <s v="sneha-NE"/>
    <n v="2"/>
    <d v="2026-03-06T00:00:00"/>
    <d v="2026-03-06T16:03:20"/>
    <n v="13"/>
    <x v="0"/>
    <n v="2025"/>
    <s v="Thursday"/>
    <n v="5"/>
    <d v="1899-12-30T10:30:00"/>
    <n v="10"/>
    <n v="30"/>
    <m/>
  </r>
  <r>
    <n v="1054"/>
    <s v="05-01-2025"/>
    <x v="1"/>
    <s v="Sneha"/>
    <x v="2"/>
    <x v="6"/>
    <s v="Corporate"/>
    <n v="17"/>
    <n v="100"/>
    <n v="0.1"/>
    <n v="1530"/>
    <n v="850"/>
    <n v="680"/>
    <s v="UPI"/>
    <s v="Cancelled"/>
    <s v="low sales"/>
    <b v="0"/>
    <b v="0"/>
    <b v="0"/>
    <n v="0.44444444444444442"/>
    <s v="SNEHA"/>
    <s v="sneha"/>
    <s v="SN"/>
    <s v="EHA"/>
    <s v="NE"/>
    <s v="SNEHA"/>
    <n v="5"/>
    <s v="Corporate"/>
    <s v="sneha-NE"/>
    <n v="2"/>
    <d v="2026-03-06T00:00:00"/>
    <d v="2026-03-06T16:03:20"/>
    <n v="5"/>
    <x v="2"/>
    <n v="2025"/>
    <s v="Sunday"/>
    <n v="1"/>
    <d v="1899-12-30T10:30:00"/>
    <n v="10"/>
    <n v="30"/>
    <m/>
  </r>
  <r>
    <n v="1055"/>
    <s v="15-02-2025"/>
    <x v="2"/>
    <s v="Rahul"/>
    <x v="0"/>
    <x v="3"/>
    <s v="Consumer"/>
    <n v="8"/>
    <n v="25000"/>
    <n v="0.05"/>
    <n v="190000"/>
    <n v="144000"/>
    <n v="46000"/>
    <s v="Cash"/>
    <s v="Cancelled"/>
    <s v="low sales"/>
    <b v="0"/>
    <b v="1"/>
    <b v="0"/>
    <n v="0.24210526315789474"/>
    <s v="RAHUL"/>
    <s v="rahul"/>
    <s v="RA"/>
    <s v="HUL"/>
    <s v="AH"/>
    <s v="RAHUL"/>
    <n v="5"/>
    <s v="Consumer"/>
    <s v="rahul-AH"/>
    <n v="2"/>
    <d v="2026-03-06T00:00:00"/>
    <d v="2026-03-06T16:03:20"/>
    <n v="15"/>
    <x v="0"/>
    <n v="2025"/>
    <s v="Saturday"/>
    <n v="7"/>
    <d v="1899-12-30T10:30:00"/>
    <n v="10"/>
    <n v="30"/>
    <m/>
  </r>
  <r>
    <n v="1056"/>
    <s v="16-02-2025"/>
    <x v="2"/>
    <s v="Rahul"/>
    <x v="2"/>
    <x v="7"/>
    <s v="Consumer"/>
    <n v="14"/>
    <n v="500"/>
    <n v="0.02"/>
    <n v="6860"/>
    <n v="4900"/>
    <n v="1960"/>
    <s v="EMI"/>
    <s v="Pending"/>
    <s v="low sales"/>
    <b v="0"/>
    <b v="0"/>
    <b v="0"/>
    <n v="0.2857142857142857"/>
    <s v="RAHUL"/>
    <s v="rahul"/>
    <s v="RA"/>
    <s v="HUL"/>
    <s v="AH"/>
    <s v="RAHUL"/>
    <n v="5"/>
    <s v="Consumer"/>
    <s v="rahul-AH"/>
    <n v="2"/>
    <d v="2026-03-06T00:00:00"/>
    <d v="2026-03-06T16:03:20"/>
    <n v="16"/>
    <x v="0"/>
    <n v="2025"/>
    <s v="Sunday"/>
    <n v="1"/>
    <d v="1899-12-30T10:30:00"/>
    <n v="10"/>
    <n v="30"/>
    <m/>
  </r>
  <r>
    <n v="1057"/>
    <s v="02-03-2025"/>
    <x v="2"/>
    <s v="Rahul"/>
    <x v="1"/>
    <x v="2"/>
    <s v="Consumer"/>
    <n v="7"/>
    <n v="20000"/>
    <n v="0"/>
    <n v="140000"/>
    <n v="105000"/>
    <n v="35000"/>
    <s v="Cash"/>
    <s v="Pending"/>
    <s v="low sales"/>
    <b v="0"/>
    <b v="1"/>
    <b v="0"/>
    <n v="0.25"/>
    <s v="RAHUL"/>
    <s v="rahul"/>
    <s v="RA"/>
    <s v="HUL"/>
    <s v="AH"/>
    <s v="RAHUL"/>
    <n v="5"/>
    <s v="Consumer"/>
    <s v="rahul-AH"/>
    <n v="2"/>
    <d v="2026-03-06T00:00:00"/>
    <d v="2026-03-06T16:03:20"/>
    <n v="2"/>
    <x v="1"/>
    <n v="2025"/>
    <s v="Sunday"/>
    <n v="1"/>
    <d v="1899-12-30T10:30:00"/>
    <n v="10"/>
    <n v="30"/>
    <m/>
  </r>
  <r>
    <n v="1058"/>
    <s v="23-02-2025"/>
    <x v="3"/>
    <s v="Sneha"/>
    <x v="1"/>
    <x v="9"/>
    <s v="Consumer"/>
    <n v="5"/>
    <n v="2000"/>
    <n v="0.1"/>
    <n v="9000"/>
    <n v="7500"/>
    <n v="1500"/>
    <s v="Cash"/>
    <s v="Cancelled"/>
    <s v="low sales"/>
    <b v="0"/>
    <b v="1"/>
    <b v="0"/>
    <n v="0.16666666666666666"/>
    <s v="SNEHA"/>
    <s v="sneha"/>
    <s v="SN"/>
    <s v="EHA"/>
    <s v="NE"/>
    <s v="SNEHA"/>
    <n v="5"/>
    <s v="Consumer"/>
    <s v="sneha-NE"/>
    <n v="2"/>
    <d v="2026-03-06T00:00:00"/>
    <d v="2026-03-06T16:03:20"/>
    <n v="23"/>
    <x v="0"/>
    <n v="2025"/>
    <s v="Sunday"/>
    <n v="1"/>
    <d v="1899-12-30T10:30:00"/>
    <n v="10"/>
    <n v="30"/>
    <m/>
  </r>
  <r>
    <n v="1059"/>
    <s v="27-01-2025"/>
    <x v="3"/>
    <s v="Priya"/>
    <x v="2"/>
    <x v="6"/>
    <s v="Corporate"/>
    <n v="15"/>
    <n v="100"/>
    <n v="0.08"/>
    <n v="1380"/>
    <n v="750"/>
    <n v="630"/>
    <s v="EMI"/>
    <s v="Pending"/>
    <s v="low sales"/>
    <b v="0"/>
    <b v="0"/>
    <b v="0"/>
    <n v="0.45652173913043476"/>
    <s v="PRIYA"/>
    <s v="priya"/>
    <s v="PR"/>
    <s v="IYA"/>
    <s v="RI"/>
    <s v="PRIYA"/>
    <n v="5"/>
    <s v="Corporate"/>
    <s v="priya-RI"/>
    <n v="2"/>
    <d v="2026-03-06T00:00:00"/>
    <d v="2026-03-06T16:03:20"/>
    <n v="27"/>
    <x v="2"/>
    <n v="2025"/>
    <s v="Monday"/>
    <n v="2"/>
    <d v="1899-12-30T10:30:00"/>
    <n v="10"/>
    <n v="30"/>
    <m/>
  </r>
  <r>
    <n v="1060"/>
    <s v="11-01-2025"/>
    <x v="0"/>
    <s v="Rahul"/>
    <x v="0"/>
    <x v="5"/>
    <s v="Corporate"/>
    <n v="5"/>
    <n v="12000"/>
    <n v="0.02"/>
    <n v="58800"/>
    <n v="40000"/>
    <n v="18800"/>
    <s v="EMI"/>
    <s v="Cancelled"/>
    <s v="low sales"/>
    <b v="0"/>
    <b v="0"/>
    <b v="0"/>
    <n v="0.31972789115646261"/>
    <s v="RAHUL"/>
    <s v="rahul"/>
    <s v="RA"/>
    <s v="HUL"/>
    <s v="AH"/>
    <s v="RAHUL"/>
    <n v="5"/>
    <s v="Corporate"/>
    <s v="rahul-AH"/>
    <n v="2"/>
    <d v="2026-03-06T00:00:00"/>
    <d v="2026-03-06T16:03:20"/>
    <n v="11"/>
    <x v="2"/>
    <n v="2025"/>
    <s v="Saturday"/>
    <n v="7"/>
    <d v="1899-12-30T10:30:00"/>
    <n v="10"/>
    <n v="30"/>
    <m/>
  </r>
  <r>
    <n v="1061"/>
    <s v="16-01-2025"/>
    <x v="0"/>
    <s v="Priya"/>
    <x v="0"/>
    <x v="0"/>
    <s v="Home Office"/>
    <n v="20"/>
    <n v="3000"/>
    <n v="0.02"/>
    <n v="58800"/>
    <n v="40000"/>
    <n v="18800"/>
    <s v="EMI"/>
    <s v="Pending"/>
    <s v="low sales"/>
    <b v="0"/>
    <b v="0"/>
    <b v="0"/>
    <n v="0.31972789115646261"/>
    <s v="PRIYA"/>
    <s v="priya"/>
    <s v="PR"/>
    <s v="IYA"/>
    <s v="RI"/>
    <s v="PRIYA"/>
    <n v="5"/>
    <s v="Home Office"/>
    <s v="priya-RI"/>
    <n v="2"/>
    <d v="2026-03-06T00:00:00"/>
    <d v="2026-03-06T16:03:20"/>
    <n v="16"/>
    <x v="2"/>
    <n v="2025"/>
    <s v="Thursday"/>
    <n v="5"/>
    <d v="1899-12-30T10:30:00"/>
    <n v="10"/>
    <n v="30"/>
    <m/>
  </r>
  <r>
    <n v="1062"/>
    <s v="29-01-2025"/>
    <x v="2"/>
    <s v="Priya"/>
    <x v="0"/>
    <x v="0"/>
    <s v="Corporate"/>
    <n v="18"/>
    <n v="3000"/>
    <n v="0"/>
    <n v="54000"/>
    <n v="36000"/>
    <n v="18000"/>
    <s v="Card"/>
    <s v="Delivered"/>
    <s v="low sales"/>
    <b v="0"/>
    <b v="0"/>
    <b v="0"/>
    <n v="0.33333333333333331"/>
    <s v="PRIYA"/>
    <s v="priya"/>
    <s v="PR"/>
    <s v="IYA"/>
    <s v="RI"/>
    <s v="PRIYA"/>
    <n v="5"/>
    <s v="Corporate"/>
    <s v="priya-RI"/>
    <n v="2"/>
    <d v="2026-03-06T00:00:00"/>
    <d v="2026-03-06T16:03:20"/>
    <n v="29"/>
    <x v="2"/>
    <n v="2025"/>
    <s v="Wednesday"/>
    <n v="4"/>
    <d v="1899-12-30T10:30:00"/>
    <n v="10"/>
    <n v="30"/>
    <m/>
  </r>
  <r>
    <n v="1063"/>
    <s v="07-01-2025"/>
    <x v="3"/>
    <s v="Rahul"/>
    <x v="0"/>
    <x v="4"/>
    <s v="Corporate"/>
    <n v="3"/>
    <n v="35000"/>
    <n v="0.05"/>
    <n v="99750"/>
    <n v="75000"/>
    <n v="24750"/>
    <s v="Cash"/>
    <s v="Cancelled"/>
    <s v="low sales"/>
    <b v="0"/>
    <b v="1"/>
    <b v="0"/>
    <n v="0.24812030075187969"/>
    <s v="RAHUL"/>
    <s v="rahul"/>
    <s v="RA"/>
    <s v="HUL"/>
    <s v="AH"/>
    <s v="RAHUL"/>
    <n v="5"/>
    <s v="Corporate"/>
    <s v="rahul-AH"/>
    <n v="2"/>
    <d v="2026-03-06T00:00:00"/>
    <d v="2026-03-06T16:03:20"/>
    <n v="7"/>
    <x v="2"/>
    <n v="2025"/>
    <s v="Tuesday"/>
    <n v="3"/>
    <d v="1899-12-30T10:30:00"/>
    <n v="10"/>
    <n v="30"/>
    <m/>
  </r>
  <r>
    <n v="1064"/>
    <s v="23-01-2025"/>
    <x v="0"/>
    <s v="Amit"/>
    <x v="2"/>
    <x v="7"/>
    <s v="Home Office"/>
    <n v="19"/>
    <n v="500"/>
    <n v="0.02"/>
    <n v="9310"/>
    <n v="6650"/>
    <n v="2660"/>
    <s v="Card"/>
    <s v="Pending"/>
    <s v="low sales"/>
    <b v="0"/>
    <b v="0"/>
    <b v="0"/>
    <n v="0.2857142857142857"/>
    <s v="AMIT"/>
    <s v="amit"/>
    <s v="AM"/>
    <s v="MIT"/>
    <s v="MI"/>
    <s v="AMMIT"/>
    <n v="4"/>
    <s v="Home Office"/>
    <s v="amit-MI"/>
    <n v="3"/>
    <d v="2026-03-06T00:00:00"/>
    <d v="2026-03-06T16:03:20"/>
    <n v="23"/>
    <x v="2"/>
    <n v="2025"/>
    <s v="Thursday"/>
    <n v="5"/>
    <d v="1899-12-30T10:30:00"/>
    <n v="10"/>
    <n v="30"/>
    <m/>
  </r>
  <r>
    <n v="1065"/>
    <s v="02-03-2025"/>
    <x v="3"/>
    <s v="Amit"/>
    <x v="1"/>
    <x v="2"/>
    <s v="Consumer"/>
    <n v="14"/>
    <n v="20000"/>
    <n v="0.08"/>
    <n v="257600"/>
    <n v="210000"/>
    <n v="47600"/>
    <s v="Card"/>
    <s v="Delivered"/>
    <s v="low sales"/>
    <b v="0"/>
    <b v="0"/>
    <b v="0"/>
    <n v="0.18478260869565216"/>
    <s v="AMIT"/>
    <s v="amit"/>
    <s v="AM"/>
    <s v="MIT"/>
    <s v="MI"/>
    <s v="AMMIT"/>
    <n v="4"/>
    <s v="Consumer"/>
    <s v="amit-MI"/>
    <n v="3"/>
    <d v="2026-03-06T00:00:00"/>
    <d v="2026-03-06T16:03:20"/>
    <n v="2"/>
    <x v="1"/>
    <n v="2025"/>
    <s v="Sunday"/>
    <n v="1"/>
    <d v="1899-12-30T10:30:00"/>
    <n v="10"/>
    <n v="30"/>
    <m/>
  </r>
  <r>
    <n v="1066"/>
    <s v="27-01-2025"/>
    <x v="3"/>
    <s v="Amit"/>
    <x v="2"/>
    <x v="6"/>
    <s v="Corporate"/>
    <n v="5"/>
    <n v="100"/>
    <n v="0.02"/>
    <n v="490"/>
    <n v="250"/>
    <n v="240"/>
    <s v="EMI"/>
    <s v="Pending"/>
    <s v="low sales"/>
    <b v="0"/>
    <b v="0"/>
    <b v="1"/>
    <n v="0.48979591836734693"/>
    <s v="AMIT"/>
    <s v="amit"/>
    <s v="AM"/>
    <s v="MIT"/>
    <s v="MI"/>
    <s v="AMMIT"/>
    <n v="4"/>
    <s v="Corporate"/>
    <s v="amit-MI"/>
    <n v="3"/>
    <d v="2026-03-06T00:00:00"/>
    <d v="2026-03-06T16:03:20"/>
    <n v="27"/>
    <x v="2"/>
    <n v="2025"/>
    <s v="Monday"/>
    <n v="2"/>
    <d v="1899-12-30T10:30:00"/>
    <n v="10"/>
    <n v="30"/>
    <m/>
  </r>
  <r>
    <n v="1067"/>
    <s v="14-02-2025"/>
    <x v="0"/>
    <s v="Priya"/>
    <x v="0"/>
    <x v="4"/>
    <s v="Consumer"/>
    <n v="14"/>
    <n v="35000"/>
    <n v="0"/>
    <n v="490000"/>
    <n v="350000"/>
    <n v="140000"/>
    <s v="EMI"/>
    <s v="Pending"/>
    <s v="high sales"/>
    <b v="0"/>
    <b v="1"/>
    <b v="0"/>
    <n v="0.2857142857142857"/>
    <s v="PRIYA"/>
    <s v="priya"/>
    <s v="PR"/>
    <s v="IYA"/>
    <s v="RI"/>
    <s v="PRIYA"/>
    <n v="5"/>
    <s v="Consumer"/>
    <s v="priya-RI"/>
    <n v="2"/>
    <d v="2026-03-06T00:00:00"/>
    <d v="2026-03-06T16:03:20"/>
    <n v="14"/>
    <x v="0"/>
    <n v="2025"/>
    <s v="Friday"/>
    <n v="6"/>
    <d v="1899-12-30T10:30:00"/>
    <n v="10"/>
    <n v="30"/>
    <m/>
  </r>
  <r>
    <n v="1068"/>
    <s v="27-01-2025"/>
    <x v="3"/>
    <s v="Priya"/>
    <x v="0"/>
    <x v="4"/>
    <s v="Consumer"/>
    <n v="10"/>
    <n v="35000"/>
    <n v="0.1"/>
    <n v="315000"/>
    <n v="250000"/>
    <n v="65000"/>
    <s v="EMI"/>
    <s v="Delivered"/>
    <s v="low sales"/>
    <b v="0"/>
    <b v="1"/>
    <b v="0"/>
    <n v="0.20634920634920634"/>
    <s v="PRIYA"/>
    <s v="priya"/>
    <s v="PR"/>
    <s v="IYA"/>
    <s v="RI"/>
    <s v="PRIYA"/>
    <n v="5"/>
    <s v="Consumer"/>
    <s v="priya-RI"/>
    <n v="2"/>
    <d v="2026-03-06T00:00:00"/>
    <d v="2026-03-06T16:03:20"/>
    <n v="27"/>
    <x v="2"/>
    <n v="2025"/>
    <s v="Monday"/>
    <n v="2"/>
    <d v="1899-12-30T10:30:00"/>
    <n v="10"/>
    <n v="30"/>
    <m/>
  </r>
  <r>
    <n v="1069"/>
    <s v="16-01-2025"/>
    <x v="3"/>
    <s v="Priya"/>
    <x v="0"/>
    <x v="3"/>
    <s v="Home Office"/>
    <n v="1"/>
    <n v="25000"/>
    <n v="0.15"/>
    <n v="21250"/>
    <n v="18000"/>
    <n v="3250"/>
    <s v="UPI"/>
    <s v="Delivered"/>
    <s v="low sales"/>
    <b v="0"/>
    <b v="0"/>
    <b v="0"/>
    <n v="0.15294117647058825"/>
    <s v="PRIYA"/>
    <s v="priya"/>
    <s v="PR"/>
    <s v="IYA"/>
    <s v="RI"/>
    <s v="PRIYA"/>
    <n v="5"/>
    <s v="Home Office"/>
    <s v="priya-RI"/>
    <n v="2"/>
    <d v="2026-03-06T00:00:00"/>
    <d v="2026-03-06T16:03:20"/>
    <n v="16"/>
    <x v="2"/>
    <n v="2025"/>
    <s v="Thursday"/>
    <n v="5"/>
    <d v="1899-12-30T10:30:00"/>
    <n v="10"/>
    <n v="30"/>
    <m/>
  </r>
  <r>
    <n v="1070"/>
    <s v="13-02-2025"/>
    <x v="2"/>
    <s v="Amit"/>
    <x v="1"/>
    <x v="2"/>
    <s v="Consumer"/>
    <n v="16"/>
    <n v="20000"/>
    <n v="0.08"/>
    <n v="294400"/>
    <n v="240000"/>
    <n v="54400"/>
    <s v="Cash"/>
    <s v="Cancelled"/>
    <s v="low sales"/>
    <b v="0"/>
    <b v="1"/>
    <b v="0"/>
    <n v="0.18478260869565216"/>
    <s v="AMIT"/>
    <s v="amit"/>
    <s v="AM"/>
    <s v="MIT"/>
    <s v="MI"/>
    <s v="AMMIT"/>
    <n v="4"/>
    <s v="Consumer"/>
    <s v="amit-MI"/>
    <n v="3"/>
    <d v="2026-03-06T00:00:00"/>
    <d v="2026-03-06T16:03:20"/>
    <n v="13"/>
    <x v="0"/>
    <n v="2025"/>
    <s v="Thursday"/>
    <n v="5"/>
    <d v="1899-12-30T10:30:00"/>
    <n v="10"/>
    <n v="3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44CC7-7DB7-41B2-A271-3D8EC031B572}"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41">
    <pivotField showAll="0"/>
    <pivotField showAll="0"/>
    <pivotField axis="axisRow" showAll="0">
      <items count="5">
        <item x="2"/>
        <item x="3"/>
        <item x="0"/>
        <item x="1"/>
        <item t="default"/>
      </items>
    </pivotField>
    <pivotField showAll="0"/>
    <pivotField showAll="0"/>
    <pivotField showAll="0">
      <items count="12">
        <item x="0"/>
        <item x="3"/>
        <item x="9"/>
        <item x="8"/>
        <item x="2"/>
        <item x="10"/>
        <item x="6"/>
        <item x="7"/>
        <item x="4"/>
        <item x="5"/>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22" showAll="0"/>
    <pivotField showAll="0"/>
    <pivotField showAll="0"/>
    <pivotField showAll="0"/>
    <pivotField showAll="0"/>
    <pivotField showAll="0"/>
    <pivotField numFmtId="18" showAll="0"/>
    <pivotField showAll="0"/>
    <pivotField showAll="0"/>
    <pivotField showAll="0"/>
  </pivotFields>
  <rowFields count="1">
    <field x="2"/>
  </rowFields>
  <rowItems count="5">
    <i>
      <x/>
    </i>
    <i>
      <x v="1"/>
    </i>
    <i>
      <x v="2"/>
    </i>
    <i>
      <x v="3"/>
    </i>
    <i t="grand">
      <x/>
    </i>
  </rowItems>
  <colItems count="1">
    <i/>
  </colItems>
  <dataFields count="1">
    <dataField name="Sum of SalesAmoun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D3D8E-D4D6-4DA8-8D09-FD03FDFCBAC5}"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3"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actice_Complete_Dataset.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E8FE36-3377-4838-A8A5-DA7264A16026}"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location ref="E11:F15" firstHeaderRow="1" firstDataRow="1" firstDataCol="1"/>
  <pivotFields count="41">
    <pivotField showAll="0"/>
    <pivotField showAll="0"/>
    <pivotField showAll="0">
      <items count="5">
        <item x="2"/>
        <item x="3"/>
        <item x="0"/>
        <item x="1"/>
        <item t="default"/>
      </items>
    </pivotField>
    <pivotField showAll="0"/>
    <pivotField showAll="0"/>
    <pivotField showAll="0">
      <items count="12">
        <item x="0"/>
        <item x="3"/>
        <item x="9"/>
        <item x="8"/>
        <item x="2"/>
        <item x="10"/>
        <item x="6"/>
        <item x="7"/>
        <item x="4"/>
        <item x="5"/>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22" showAll="0"/>
    <pivotField showAll="0"/>
    <pivotField axis="axisRow" showAll="0">
      <items count="4">
        <item x="2"/>
        <item x="0"/>
        <item x="1"/>
        <item t="default"/>
      </items>
    </pivotField>
    <pivotField showAll="0"/>
    <pivotField showAll="0"/>
    <pivotField showAll="0"/>
    <pivotField numFmtId="18" showAll="0"/>
    <pivotField showAll="0"/>
    <pivotField showAll="0"/>
    <pivotField showAll="0"/>
  </pivotFields>
  <rowFields count="1">
    <field x="33"/>
  </rowFields>
  <rowItems count="4">
    <i>
      <x/>
    </i>
    <i>
      <x v="1"/>
    </i>
    <i>
      <x v="2"/>
    </i>
    <i t="grand">
      <x/>
    </i>
  </rowItems>
  <colItems count="1">
    <i/>
  </colItems>
  <dataFields count="1">
    <dataField name="Sum of Sales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9A0ED-4FE1-4555-8C70-D04DF380B1D9}"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I3:J15" firstHeaderRow="1" firstDataRow="1" firstDataCol="1"/>
  <pivotFields count="41">
    <pivotField showAll="0"/>
    <pivotField showAll="0"/>
    <pivotField showAll="0">
      <items count="5">
        <item x="2"/>
        <item x="3"/>
        <item x="0"/>
        <item x="1"/>
        <item t="default"/>
      </items>
    </pivotField>
    <pivotField showAll="0"/>
    <pivotField showAll="0"/>
    <pivotField axis="axisRow" showAll="0">
      <items count="12">
        <item x="0"/>
        <item x="3"/>
        <item x="9"/>
        <item x="8"/>
        <item x="2"/>
        <item x="10"/>
        <item x="6"/>
        <item x="7"/>
        <item x="4"/>
        <item x="5"/>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22" showAll="0"/>
    <pivotField showAll="0"/>
    <pivotField showAll="0"/>
    <pivotField showAll="0"/>
    <pivotField showAll="0"/>
    <pivotField showAll="0"/>
    <pivotField numFmtId="18"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Profit" fld="1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495C8-52FC-4099-BFBB-55C3E39805C5}"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E3:F7" firstHeaderRow="1" firstDataRow="1" firstDataCol="1"/>
  <pivotFields count="41">
    <pivotField showAll="0"/>
    <pivotField showAll="0"/>
    <pivotField showAll="0">
      <items count="5">
        <item x="2"/>
        <item x="3"/>
        <item x="0"/>
        <item x="1"/>
        <item t="default"/>
      </items>
    </pivotField>
    <pivotField showAll="0"/>
    <pivotField axis="axisRow" showAll="0">
      <items count="4">
        <item x="1"/>
        <item x="0"/>
        <item x="2"/>
        <item t="default"/>
      </items>
    </pivotField>
    <pivotField showAll="0">
      <items count="12">
        <item x="0"/>
        <item x="3"/>
        <item x="9"/>
        <item x="8"/>
        <item x="2"/>
        <item x="10"/>
        <item x="6"/>
        <item x="7"/>
        <item x="4"/>
        <item x="5"/>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22" showAll="0"/>
    <pivotField showAll="0"/>
    <pivotField showAll="0"/>
    <pivotField showAll="0"/>
    <pivotField showAll="0"/>
    <pivotField showAll="0"/>
    <pivotField numFmtId="18" showAll="0"/>
    <pivotField showAll="0"/>
    <pivotField showAll="0"/>
    <pivotField showAll="0"/>
  </pivotFields>
  <rowFields count="1">
    <field x="4"/>
  </rowFields>
  <rowItems count="4">
    <i>
      <x/>
    </i>
    <i>
      <x v="1"/>
    </i>
    <i>
      <x v="2"/>
    </i>
    <i t="grand">
      <x/>
    </i>
  </rowItems>
  <colItems count="1">
    <i/>
  </colItems>
  <dataFields count="1">
    <dataField name="Sum of SalesAmount" fld="10"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621F0CD-C870-43FC-B13D-5D35255889FA}" autoFormatId="16" applyNumberFormats="0" applyBorderFormats="0" applyFontFormats="0" applyPatternFormats="0" applyAlignmentFormats="0" applyWidthHeightFormats="0">
  <queryTableRefresh nextId="3">
    <queryTableFields count="2">
      <queryTableField id="1" name="Region" tableColumnId="1"/>
      <queryTableField id="2" name="group by"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C58CD16-D367-4DC2-A110-06954DFD4E73}" autoFormatId="16" applyNumberFormats="0" applyBorderFormats="0" applyFontFormats="0" applyPatternFormats="0" applyAlignmentFormats="0" applyWidthHeightFormats="0">
  <queryTableRefresh nextId="43">
    <queryTableFields count="42">
      <queryTableField id="1" name="OrderID" tableColumnId="1"/>
      <queryTableField id="2" name="OrderDate" tableColumnId="2"/>
      <queryTableField id="3" name="Region" tableColumnId="3"/>
      <queryTableField id="4" name="Salesperson" tableColumnId="4"/>
      <queryTableField id="5" name="Category" tableColumnId="5"/>
      <queryTableField id="6" name="Product" tableColumnId="6"/>
      <queryTableField id="7" name="Segment" tableColumnId="7"/>
      <queryTableField id="8" name="Quantity" tableColumnId="8"/>
      <queryTableField id="9" name="UnitPrice" tableColumnId="9"/>
      <queryTableField id="10" name="Discount%" tableColumnId="10"/>
      <queryTableField id="11" name="SalesAmount" tableColumnId="11"/>
      <queryTableField id="12" name="Cost" tableColumnId="12"/>
      <queryTableField id="13" name="Profit" tableColumnId="13"/>
      <queryTableField id="14" name="PaymentMode" tableColumnId="14"/>
      <queryTableField id="15" name="Status" tableColumnId="15"/>
      <queryTableField id="16" name="if fn" tableColumnId="16"/>
      <queryTableField id="17" name="And fn" tableColumnId="17"/>
      <queryTableField id="18" name="or fn" tableColumnId="18"/>
      <queryTableField id="19" name="not fn " tableColumnId="19"/>
      <queryTableField id="20" name="iferror" tableColumnId="20"/>
      <queryTableField id="21" name="uppercase " tableColumnId="21"/>
      <queryTableField id="22" name="lowercase" tableColumnId="22"/>
      <queryTableField id="23" name="left fn " tableColumnId="23"/>
      <queryTableField id="24" name="right" tableColumnId="24"/>
      <queryTableField id="25" name="middle" tableColumnId="25"/>
      <queryTableField id="26" name="concatenate " tableColumnId="26"/>
      <queryTableField id="27" name="length" tableColumnId="27"/>
      <queryTableField id="28" name="trim " tableColumnId="28"/>
      <queryTableField id="29" name="textjoin" tableColumnId="29"/>
      <queryTableField id="30" name="find" tableColumnId="30"/>
      <queryTableField id="31" name="today " tableColumnId="31"/>
      <queryTableField id="32" name="now" tableColumnId="32"/>
      <queryTableField id="33" name="day of date" tableColumnId="33"/>
      <queryTableField id="34" name="month of day " tableColumnId="34"/>
      <queryTableField id="35" name="year of day" tableColumnId="35"/>
      <queryTableField id="36" name="weekday" tableColumnId="36"/>
      <queryTableField id="37" name="weekday of date " tableColumnId="37"/>
      <queryTableField id="38" name="time " tableColumnId="38"/>
      <queryTableField id="39" name="hour time" tableColumnId="39"/>
      <queryTableField id="40" name="minutes" tableColumnId="40"/>
      <queryTableField id="41" name="Column1" tableColumnId="41"/>
      <queryTableField id="42" name="profit margin"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644327-A8A5-4978-9962-AB59193EA62E}" sourceName="Region">
  <pivotTables>
    <pivotTable tabId="5" name="PivotTable10"/>
    <pivotTable tabId="5" name="PivotTable7"/>
    <pivotTable tabId="5" name="PivotTable8"/>
    <pivotTable tabId="5" name="PivotTable9"/>
  </pivotTables>
  <data>
    <tabular pivotCacheId="169727014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6B87A01-27C2-439B-AE23-F615002667C1}" sourceName="Product">
  <pivotTables>
    <pivotTable tabId="5" name="PivotTable10"/>
    <pivotTable tabId="5" name="PivotTable7"/>
    <pivotTable tabId="5" name="PivotTable8"/>
    <pivotTable tabId="5" name="PivotTable9"/>
  </pivotTables>
  <data>
    <tabular pivotCacheId="1697270149">
      <items count="11">
        <i x="0" s="1"/>
        <i x="3" s="1"/>
        <i x="9" s="1"/>
        <i x="8" s="1"/>
        <i x="2" s="1"/>
        <i x="10" s="1"/>
        <i x="6" s="1"/>
        <i x="7" s="1"/>
        <i x="4"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3A5E109-2C21-48A6-B3C7-CDBAF0A0616E}" cache="Slicer_Region" caption="Region" rowHeight="241300"/>
  <slicer name="Product 1" xr10:uid="{DD0CBEAB-730D-4736-B83B-27EC6D9A9432}"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8B88C6-9383-4615-868E-AC5FF398C4E8}" name="SalesTable_2" displayName="SalesTable_2" ref="A1:B5" tableType="queryTable" totalsRowShown="0">
  <autoFilter ref="A1:B5" xr:uid="{1E8B88C6-9383-4615-868E-AC5FF398C4E8}"/>
  <tableColumns count="2">
    <tableColumn id="1" xr3:uid="{B57E8F34-6A19-48FF-9693-D83F8B5562EF}" uniqueName="1" name="Region" queryTableFieldId="1" dataDxfId="20"/>
    <tableColumn id="2" xr3:uid="{7C848BEE-E6DA-40FC-BE1B-0AE2977D83D5}" uniqueName="2" name="group by"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41C12F-415D-43C4-A5BC-083C56E6AFB4}" name="SalesTable_1" displayName="SalesTable_1" ref="A1:AP71" tableType="queryTable" totalsRowShown="0">
  <autoFilter ref="A1:AP71" xr:uid="{2A41C12F-415D-43C4-A5BC-083C56E6AFB4}"/>
  <tableColumns count="42">
    <tableColumn id="1" xr3:uid="{318276F2-D1C6-4531-A418-5525281497FD}" uniqueName="1" name="OrderID" queryTableFieldId="1"/>
    <tableColumn id="2" xr3:uid="{A0D3C266-DA0C-42EC-823B-E6DA81FE7760}" uniqueName="2" name="OrderDate" queryTableFieldId="2" dataDxfId="19"/>
    <tableColumn id="3" xr3:uid="{F8295EEC-0DB2-4EDF-980B-699D9081552B}" uniqueName="3" name="Region" queryTableFieldId="3" dataDxfId="18"/>
    <tableColumn id="4" xr3:uid="{28B28498-2427-4DC3-9CC3-757C01AE7CF1}" uniqueName="4" name="Salesperson" queryTableFieldId="4" dataDxfId="17"/>
    <tableColumn id="5" xr3:uid="{47AB9131-F638-4369-9230-A9867EA73922}" uniqueName="5" name="Category" queryTableFieldId="5" dataDxfId="16"/>
    <tableColumn id="6" xr3:uid="{8A2274E3-6DB3-4A77-B6FC-3D7A99D691F1}" uniqueName="6" name="Product" queryTableFieldId="6" dataDxfId="15"/>
    <tableColumn id="7" xr3:uid="{CF63CB1A-6088-4C2C-B6E8-3BDB69FACE88}" uniqueName="7" name="Segment" queryTableFieldId="7" dataDxfId="14"/>
    <tableColumn id="8" xr3:uid="{5DA615D3-D1F6-4128-AAB5-75FF5D94B7D0}" uniqueName="8" name="Quantity" queryTableFieldId="8"/>
    <tableColumn id="9" xr3:uid="{7301D5E8-607B-4780-A476-0CA8903EBB59}" uniqueName="9" name="UnitPrice" queryTableFieldId="9"/>
    <tableColumn id="10" xr3:uid="{F146703F-FCA0-46D3-8715-020FA12031FE}" uniqueName="10" name="Discount%" queryTableFieldId="10"/>
    <tableColumn id="11" xr3:uid="{8FA423B9-3A96-4E9E-867B-B28022E43F17}" uniqueName="11" name="SalesAmount" queryTableFieldId="11"/>
    <tableColumn id="12" xr3:uid="{E8DE6A99-166F-4EF1-901C-0E2B754C2CDB}" uniqueName="12" name="Cost" queryTableFieldId="12"/>
    <tableColumn id="13" xr3:uid="{6F9C2A6B-1CE2-468B-BEF5-8A2254D7B022}" uniqueName="13" name="Profit" queryTableFieldId="13"/>
    <tableColumn id="14" xr3:uid="{7D236C57-25DF-43E6-B7F2-4265E121E120}" uniqueName="14" name="PaymentMode" queryTableFieldId="14" dataDxfId="13"/>
    <tableColumn id="15" xr3:uid="{F6C7F9A7-E13B-454B-8CE9-1EA1F7B1D0C3}" uniqueName="15" name="Status" queryTableFieldId="15" dataDxfId="12"/>
    <tableColumn id="16" xr3:uid="{554FED8F-9C48-4C18-94C3-26EE653BD9E3}" uniqueName="16" name="if fn" queryTableFieldId="16" dataDxfId="11"/>
    <tableColumn id="17" xr3:uid="{7BFE0962-47F4-4FEB-9736-E64D4B3C80C7}" uniqueName="17" name="And fn" queryTableFieldId="17"/>
    <tableColumn id="18" xr3:uid="{8E136FFC-FB4E-4B56-A355-B88D25B7CEB4}" uniqueName="18" name="or fn" queryTableFieldId="18"/>
    <tableColumn id="19" xr3:uid="{0D417CD9-FC20-4DFC-BCFA-0722C47BDC25}" uniqueName="19" name="not fn " queryTableFieldId="19"/>
    <tableColumn id="20" xr3:uid="{C4AAABBB-BE51-45B5-9BF3-6EE54327FFC0}" uniqueName="20" name="iferror" queryTableFieldId="20"/>
    <tableColumn id="21" xr3:uid="{E4170D22-7518-4618-ABC6-F0C565F437B1}" uniqueName="21" name="uppercase " queryTableFieldId="21" dataDxfId="10"/>
    <tableColumn id="22" xr3:uid="{D14F7EE7-42D7-4AAA-B935-0DEEC8EBBB29}" uniqueName="22" name="lowercase" queryTableFieldId="22" dataDxfId="9"/>
    <tableColumn id="23" xr3:uid="{DA0D6818-BF30-431C-A5E0-E3E1EA94CE69}" uniqueName="23" name="left fn " queryTableFieldId="23" dataDxfId="8"/>
    <tableColumn id="24" xr3:uid="{BCF67F3A-E35E-494F-B45F-A53970D27751}" uniqueName="24" name="right" queryTableFieldId="24" dataDxfId="7"/>
    <tableColumn id="25" xr3:uid="{56A18121-E164-4858-8EAB-DC95882529BC}" uniqueName="25" name="middle" queryTableFieldId="25" dataDxfId="6"/>
    <tableColumn id="26" xr3:uid="{282F93C0-A3E6-4535-9A34-04B61AFFAA65}" uniqueName="26" name="concatenate " queryTableFieldId="26" dataDxfId="5"/>
    <tableColumn id="27" xr3:uid="{7F043C55-6084-451A-875B-0CE929E80657}" uniqueName="27" name="length" queryTableFieldId="27"/>
    <tableColumn id="28" xr3:uid="{582BDF35-5F12-4D0E-88B3-D1F99AD56A56}" uniqueName="28" name="trim " queryTableFieldId="28" dataDxfId="4"/>
    <tableColumn id="29" xr3:uid="{71257A6F-C13E-4C98-8C16-86BEDC24FF62}" uniqueName="29" name="textjoin" queryTableFieldId="29" dataDxfId="3"/>
    <tableColumn id="30" xr3:uid="{6B363F15-69AA-4F28-812A-D7811ED0F8F3}" uniqueName="30" name="find" queryTableFieldId="30"/>
    <tableColumn id="31" xr3:uid="{60BD9A78-969C-4DCD-B854-32920395B4B2}" uniqueName="31" name="today " queryTableFieldId="31" dataDxfId="2"/>
    <tableColumn id="32" xr3:uid="{0C7A6879-E474-4CB8-8AB7-05CA047C212F}" uniqueName="32" name="now" queryTableFieldId="32" dataDxfId="1"/>
    <tableColumn id="33" xr3:uid="{E69894E5-1107-4CAA-8FEE-CD4C87DA56D8}" uniqueName="33" name="day of date" queryTableFieldId="33"/>
    <tableColumn id="34" xr3:uid="{F777A3B2-AEA6-4B8A-8CA7-60B7A28B76E1}" uniqueName="34" name="month of day " queryTableFieldId="34"/>
    <tableColumn id="35" xr3:uid="{FDBC761A-AB0D-4B03-AC92-48B132F7AEC6}" uniqueName="35" name="year of day" queryTableFieldId="35"/>
    <tableColumn id="36" xr3:uid="{AC0F1771-03A8-47E7-AECD-DEE6C17B44B2}" uniqueName="36" name="weekday" queryTableFieldId="36" dataDxfId="0"/>
    <tableColumn id="37" xr3:uid="{15B114E3-E0AB-4723-9C46-6C7038BDFA10}" uniqueName="37" name="weekday of date " queryTableFieldId="37"/>
    <tableColumn id="38" xr3:uid="{C7292250-39F4-4AFA-98C2-5667C42E97E4}" uniqueName="38" name="time " queryTableFieldId="38"/>
    <tableColumn id="39" xr3:uid="{EF05D6D5-59A5-4B96-8BAA-E01E4F5D83CD}" uniqueName="39" name="hour time" queryTableFieldId="39"/>
    <tableColumn id="40" xr3:uid="{91D4B02E-ADD8-4702-A4BF-D2B9249B0038}" uniqueName="40" name="minutes" queryTableFieldId="40"/>
    <tableColumn id="41" xr3:uid="{A8DED33C-1909-4076-9E3D-FD2E83C1A71D}" uniqueName="41" name="Column1" queryTableFieldId="41"/>
    <tableColumn id="42" xr3:uid="{DA7307F2-D558-45E6-A15F-91AE30B5DB32}" uniqueName="42" name="profit margin" queryTableFieldId="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AO71">
  <autoFilter ref="A1:AO71" xr:uid="{00000000-0009-0000-0100-000001000000}"/>
  <tableColumns count="41">
    <tableColumn id="1" xr3:uid="{00000000-0010-0000-0000-000001000000}" name="OrderID"/>
    <tableColumn id="2" xr3:uid="{00000000-0010-0000-0000-000002000000}" name="OrderDate"/>
    <tableColumn id="3" xr3:uid="{00000000-0010-0000-0000-000003000000}" name="Region"/>
    <tableColumn id="4" xr3:uid="{00000000-0010-0000-0000-000004000000}" name="Salesperson"/>
    <tableColumn id="5" xr3:uid="{00000000-0010-0000-0000-000005000000}" name="Category"/>
    <tableColumn id="6" xr3:uid="{00000000-0010-0000-0000-000006000000}" name="Product"/>
    <tableColumn id="7" xr3:uid="{00000000-0010-0000-0000-000007000000}" name="Segment"/>
    <tableColumn id="8" xr3:uid="{00000000-0010-0000-0000-000008000000}" name="Quantity"/>
    <tableColumn id="9" xr3:uid="{00000000-0010-0000-0000-000009000000}" name="UnitPrice"/>
    <tableColumn id="10" xr3:uid="{00000000-0010-0000-0000-00000A000000}" name="Discount%"/>
    <tableColumn id="11" xr3:uid="{00000000-0010-0000-0000-00000B000000}" name="SalesAmount"/>
    <tableColumn id="12" xr3:uid="{00000000-0010-0000-0000-00000C000000}" name="Cost"/>
    <tableColumn id="13" xr3:uid="{00000000-0010-0000-0000-00000D000000}" name="Profit"/>
    <tableColumn id="14" xr3:uid="{00000000-0010-0000-0000-00000E000000}" name="PaymentMode"/>
    <tableColumn id="15" xr3:uid="{00000000-0010-0000-0000-00000F000000}" name="Status"/>
    <tableColumn id="16" xr3:uid="{612BA2E5-EABA-4CE1-AFF5-B9FDBAFA760E}" name="if fn" dataDxfId="46">
      <calculatedColumnFormula>IF(SalesTable[[#This Row],[SalesAmount]]&gt;400000,"high sales","low sales")</calculatedColumnFormula>
    </tableColumn>
    <tableColumn id="17" xr3:uid="{BB54517E-3E06-477E-93EF-3F4EA85B247B}" name="And fn" dataDxfId="45">
      <calculatedColumnFormula>AND(SalesTable[[#This Row],[SalesAmount]]&gt;300000,SalesTable[[#This Row],[PaymentMode]]="Cash")</calculatedColumnFormula>
    </tableColumn>
    <tableColumn id="18" xr3:uid="{A846A526-0C96-4DD7-96FD-328B691F76CC}" name="or fn" dataDxfId="44">
      <calculatedColumnFormula>OR(SalesTable[[#This Row],[SalesAmount]]&gt;300000,SalesTable[[#This Row],[PaymentMode]]="Cash")</calculatedColumnFormula>
    </tableColumn>
    <tableColumn id="19" xr3:uid="{02063527-5560-4CC9-8CE3-ECD0FAAC0B8D}" name="not fn " dataDxfId="43">
      <calculatedColumnFormula>NOT(SalesTable[[#This Row],[SalesAmount]]&gt;500)</calculatedColumnFormula>
    </tableColumn>
    <tableColumn id="20" xr3:uid="{13EEA2D3-1F42-4C4B-8717-3517694DE178}" name="iferror" dataDxfId="42">
      <calculatedColumnFormula>IFERROR(SalesTable[[#This Row],[Profit]]/SalesTable[[#This Row],[SalesAmount]],"no sales")</calculatedColumnFormula>
    </tableColumn>
    <tableColumn id="21" xr3:uid="{404FEE92-A984-47C0-AA7F-C85C1308D077}" name="uppercase " dataDxfId="41">
      <calculatedColumnFormula>UPPER(SalesTable[[#This Row],[Salesperson]])</calculatedColumnFormula>
    </tableColumn>
    <tableColumn id="22" xr3:uid="{256C35EF-F03F-40D2-9B3E-B3C5F5191754}" name="lowercase" dataDxfId="40">
      <calculatedColumnFormula>LOWER(SalesTable[[#This Row],[Salesperson]])</calculatedColumnFormula>
    </tableColumn>
    <tableColumn id="23" xr3:uid="{5D33869D-B003-4A3A-8767-65B9BE18726F}" name="left fn " dataDxfId="39">
      <calculatedColumnFormula>LEFT(SalesTable[[#This Row],[uppercase ]],2)</calculatedColumnFormula>
    </tableColumn>
    <tableColumn id="24" xr3:uid="{CE79C23D-553D-4DA5-8E1C-8BC19B641B0A}" name="right" dataDxfId="38">
      <calculatedColumnFormula>RIGHT(SalesTable[[#This Row],[uppercase ]],3)</calculatedColumnFormula>
    </tableColumn>
    <tableColumn id="25" xr3:uid="{AB2A1515-9292-4B3E-AC05-B47CE2ADBDDC}" name="middle" dataDxfId="37">
      <calculatedColumnFormula>MID(SalesTable[[#This Row],[uppercase ]],2,2)</calculatedColumnFormula>
    </tableColumn>
    <tableColumn id="26" xr3:uid="{5060C8C7-ED7A-4A19-8FBC-A0940C91AE7A}" name="concatenate " dataDxfId="36">
      <calculatedColumnFormula>_xlfn.CONCAT(SalesTable[[#This Row],[left fn ]],SalesTable[[#This Row],[right]])</calculatedColumnFormula>
    </tableColumn>
    <tableColumn id="27" xr3:uid="{976F6876-93C5-4F6A-A1B2-5F64C42F3F67}" name="length" dataDxfId="35">
      <calculatedColumnFormula>LEN(SalesTable[[#This Row],[uppercase ]])</calculatedColumnFormula>
    </tableColumn>
    <tableColumn id="28" xr3:uid="{B9855FCF-9578-4BDF-A8F6-F2C9090BA6AC}" name="trim " dataDxfId="34">
      <calculatedColumnFormula>TRIM(SalesTable[[#This Row],[Segment]])</calculatedColumnFormula>
    </tableColumn>
    <tableColumn id="29" xr3:uid="{06B7E067-7FD4-42F3-A9D2-27365B43A908}" name="textjoin" dataDxfId="33">
      <calculatedColumnFormula>_xlfn.TEXTJOIN("-",TRUE,SalesTable[[#This Row],[lowercase]],SalesTable[[#This Row],[middle]])</calculatedColumnFormula>
    </tableColumn>
    <tableColumn id="30" xr3:uid="{656B3ED4-5BCC-4D11-9B19-178198B17CDF}" name="find" dataDxfId="32">
      <calculatedColumnFormula>FIND(SalesTable[[#This Row],[middle]],SalesTable[[#This Row],[concatenate ]],1)</calculatedColumnFormula>
    </tableColumn>
    <tableColumn id="31" xr3:uid="{1240482B-E58A-4D39-B32F-E1D714BAF0E3}" name="today " dataDxfId="31">
      <calculatedColumnFormula>TODAY()</calculatedColumnFormula>
    </tableColumn>
    <tableColumn id="32" xr3:uid="{34DE23A9-B327-4D3B-85AA-4C4B147BEB07}" name="now" dataDxfId="30">
      <calculatedColumnFormula>NOW()</calculatedColumnFormula>
    </tableColumn>
    <tableColumn id="33" xr3:uid="{5215F344-9DA1-44B8-B141-E480705AD896}" name="day of date" dataDxfId="29">
      <calculatedColumnFormula>DAY(SalesTable[[#This Row],[OrderDate]])</calculatedColumnFormula>
    </tableColumn>
    <tableColumn id="34" xr3:uid="{80DCBDCE-4B9A-4691-8EA7-9B2F12321214}" name="month of day " dataDxfId="28">
      <calculatedColumnFormula>MONTH(SalesTable[[#This Row],[OrderDate]])</calculatedColumnFormula>
    </tableColumn>
    <tableColumn id="35" xr3:uid="{C30C5089-228D-4E3E-A683-36B5C8B1904F}" name="year of day" dataDxfId="27">
      <calculatedColumnFormula>YEAR(SalesTable[[#This Row],[OrderDate]])</calculatedColumnFormula>
    </tableColumn>
    <tableColumn id="41" xr3:uid="{6E29D1F2-A0E5-4669-8FB0-804C7DDD8258}" name="weekday" dataDxfId="26">
      <calculatedColumnFormula>TEXT(SalesTable[[#This Row],[OrderDate]],"dddd")</calculatedColumnFormula>
    </tableColumn>
    <tableColumn id="36" xr3:uid="{6D438F74-2809-4BD9-8ABF-F56B1A9325E9}" name="weekday of date " dataDxfId="25">
      <calculatedColumnFormula>WEEKDAY(SalesTable[[#This Row],[OrderDate]])</calculatedColumnFormula>
    </tableColumn>
    <tableColumn id="37" xr3:uid="{C4D35960-0792-4E7B-BE25-8120B12BB0A6}" name="time " dataDxfId="24">
      <calculatedColumnFormula>TIME(10,30,0)</calculatedColumnFormula>
    </tableColumn>
    <tableColumn id="38" xr3:uid="{A1253857-FCEC-4FD4-91AA-0E9F79D5D8DA}" name="hour time" dataDxfId="23">
      <calculatedColumnFormula>HOUR(SalesTable[[#This Row],[time ]])</calculatedColumnFormula>
    </tableColumn>
    <tableColumn id="39" xr3:uid="{2512C6D4-6228-46FD-886F-80B0EC4B82FF}" name="minutes" dataDxfId="22">
      <calculatedColumnFormula>MINUTE(SalesTable[[#This Row],[time ]])</calculatedColumnFormula>
    </tableColumn>
    <tableColumn id="40" xr3:uid="{F3C390E9-4A57-42FE-BACD-D4D06EB35E16}" name="Column1" data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7F7B-0817-41DA-8BDE-F1A27128721E}">
  <dimension ref="A3:J23"/>
  <sheetViews>
    <sheetView workbookViewId="0">
      <selection activeCell="C14" sqref="C14"/>
    </sheetView>
  </sheetViews>
  <sheetFormatPr defaultRowHeight="14.5" x14ac:dyDescent="0.35"/>
  <cols>
    <col min="1" max="1" width="10.7265625" bestFit="1" customWidth="1"/>
    <col min="2" max="2" width="18.26953125" bestFit="1" customWidth="1"/>
    <col min="5" max="5" width="13.1796875" bestFit="1" customWidth="1"/>
    <col min="6" max="6" width="18.26953125" bestFit="1" customWidth="1"/>
    <col min="7" max="7" width="16.6328125" bestFit="1" customWidth="1"/>
    <col min="9" max="9" width="11.7265625" bestFit="1" customWidth="1"/>
    <col min="10" max="10" width="11.81640625" bestFit="1" customWidth="1"/>
  </cols>
  <sheetData>
    <row r="3" spans="1:10" x14ac:dyDescent="0.35">
      <c r="A3" s="5" t="s">
        <v>135</v>
      </c>
      <c r="B3" t="s">
        <v>133</v>
      </c>
      <c r="E3" s="5" t="s">
        <v>134</v>
      </c>
      <c r="F3" t="s">
        <v>133</v>
      </c>
      <c r="I3" s="5" t="s">
        <v>138</v>
      </c>
      <c r="J3" t="s">
        <v>136</v>
      </c>
    </row>
    <row r="4" spans="1:10" x14ac:dyDescent="0.35">
      <c r="A4" s="6" t="s">
        <v>32</v>
      </c>
      <c r="B4" s="8">
        <v>1778580</v>
      </c>
      <c r="E4" s="6" t="s">
        <v>26</v>
      </c>
      <c r="F4" s="8">
        <v>5210140</v>
      </c>
      <c r="I4" s="6" t="s">
        <v>19</v>
      </c>
      <c r="J4" s="8">
        <v>102240</v>
      </c>
    </row>
    <row r="5" spans="1:10" x14ac:dyDescent="0.35">
      <c r="A5" s="6" t="s">
        <v>35</v>
      </c>
      <c r="B5" s="8">
        <v>2418620</v>
      </c>
      <c r="E5" s="6" t="s">
        <v>18</v>
      </c>
      <c r="F5" s="8">
        <v>4131520</v>
      </c>
      <c r="I5" s="6" t="s">
        <v>36</v>
      </c>
      <c r="J5" s="8">
        <v>266250</v>
      </c>
    </row>
    <row r="6" spans="1:10" x14ac:dyDescent="0.35">
      <c r="A6" s="6" t="s">
        <v>16</v>
      </c>
      <c r="B6" s="8">
        <v>4254890</v>
      </c>
      <c r="E6" s="6" t="s">
        <v>46</v>
      </c>
      <c r="F6" s="8">
        <v>51704</v>
      </c>
      <c r="I6" s="6" t="s">
        <v>59</v>
      </c>
      <c r="J6" s="8">
        <v>27140</v>
      </c>
    </row>
    <row r="7" spans="1:10" x14ac:dyDescent="0.35">
      <c r="A7" s="6" t="s">
        <v>24</v>
      </c>
      <c r="B7" s="8">
        <v>941274</v>
      </c>
      <c r="E7" s="6" t="s">
        <v>132</v>
      </c>
      <c r="F7" s="8">
        <v>9393364</v>
      </c>
      <c r="I7" s="6" t="s">
        <v>50</v>
      </c>
      <c r="J7" s="8">
        <v>13700</v>
      </c>
    </row>
    <row r="8" spans="1:10" x14ac:dyDescent="0.35">
      <c r="A8" s="6" t="s">
        <v>132</v>
      </c>
      <c r="B8" s="8">
        <v>9393364</v>
      </c>
      <c r="I8" s="6" t="s">
        <v>33</v>
      </c>
      <c r="J8" s="8">
        <v>398200</v>
      </c>
    </row>
    <row r="9" spans="1:10" x14ac:dyDescent="0.35">
      <c r="I9" s="6" t="s">
        <v>72</v>
      </c>
      <c r="J9" s="8">
        <v>2500</v>
      </c>
    </row>
    <row r="10" spans="1:10" x14ac:dyDescent="0.35">
      <c r="I10" s="6" t="s">
        <v>47</v>
      </c>
      <c r="J10" s="8">
        <v>2706</v>
      </c>
    </row>
    <row r="11" spans="1:10" x14ac:dyDescent="0.35">
      <c r="E11" s="5" t="s">
        <v>137</v>
      </c>
      <c r="F11" t="s">
        <v>133</v>
      </c>
      <c r="I11" s="6" t="s">
        <v>49</v>
      </c>
      <c r="J11" s="8">
        <v>10380</v>
      </c>
    </row>
    <row r="12" spans="1:10" x14ac:dyDescent="0.35">
      <c r="E12" s="6">
        <v>1</v>
      </c>
      <c r="F12" s="8">
        <v>3809109</v>
      </c>
      <c r="I12" s="6" t="s">
        <v>38</v>
      </c>
      <c r="J12" s="8">
        <v>543150</v>
      </c>
    </row>
    <row r="13" spans="1:10" x14ac:dyDescent="0.35">
      <c r="E13" s="6">
        <v>2</v>
      </c>
      <c r="F13" s="8">
        <v>5120330</v>
      </c>
      <c r="I13" s="6" t="s">
        <v>43</v>
      </c>
      <c r="J13" s="8">
        <v>130880</v>
      </c>
    </row>
    <row r="14" spans="1:10" x14ac:dyDescent="0.35">
      <c r="E14" s="6">
        <v>3</v>
      </c>
      <c r="F14" s="8">
        <v>463925</v>
      </c>
      <c r="I14" s="6" t="s">
        <v>27</v>
      </c>
      <c r="J14" s="8">
        <v>138600</v>
      </c>
    </row>
    <row r="15" spans="1:10" x14ac:dyDescent="0.35">
      <c r="A15" s="5" t="s">
        <v>131</v>
      </c>
      <c r="B15" t="s">
        <v>133</v>
      </c>
      <c r="E15" s="6" t="s">
        <v>132</v>
      </c>
      <c r="F15" s="8">
        <v>9393364</v>
      </c>
      <c r="I15" s="6" t="s">
        <v>132</v>
      </c>
      <c r="J15" s="8">
        <v>1635746</v>
      </c>
    </row>
    <row r="16" spans="1:10" x14ac:dyDescent="0.35">
      <c r="A16" s="6" t="s">
        <v>140</v>
      </c>
      <c r="B16" s="8">
        <v>742360</v>
      </c>
    </row>
    <row r="17" spans="1:2" x14ac:dyDescent="0.35">
      <c r="A17" s="6" t="s">
        <v>141</v>
      </c>
      <c r="B17" s="8">
        <v>1480110</v>
      </c>
    </row>
    <row r="18" spans="1:2" x14ac:dyDescent="0.35">
      <c r="A18" s="6" t="s">
        <v>142</v>
      </c>
      <c r="B18" s="8">
        <v>613300</v>
      </c>
    </row>
    <row r="19" spans="1:2" x14ac:dyDescent="0.35">
      <c r="A19" s="6" t="s">
        <v>143</v>
      </c>
      <c r="B19" s="8">
        <v>2687694</v>
      </c>
    </row>
    <row r="20" spans="1:2" x14ac:dyDescent="0.35">
      <c r="A20" s="6" t="s">
        <v>144</v>
      </c>
      <c r="B20" s="8">
        <v>1339230</v>
      </c>
    </row>
    <row r="21" spans="1:2" x14ac:dyDescent="0.35">
      <c r="A21" s="6" t="s">
        <v>145</v>
      </c>
      <c r="B21" s="8">
        <v>2019390</v>
      </c>
    </row>
    <row r="22" spans="1:2" x14ac:dyDescent="0.35">
      <c r="A22" s="6" t="s">
        <v>146</v>
      </c>
      <c r="B22" s="8">
        <v>511280</v>
      </c>
    </row>
    <row r="23" spans="1:2" x14ac:dyDescent="0.35">
      <c r="A23" s="6" t="s">
        <v>132</v>
      </c>
      <c r="B23" s="8">
        <v>9393364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34E3-0AC0-4495-8BFB-F6FC172DCC9D}">
  <dimension ref="A1"/>
  <sheetViews>
    <sheetView zoomScale="45" zoomScaleNormal="51" workbookViewId="0">
      <selection activeCell="E48" sqref="E48"/>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017EC-67DD-49D6-B7A2-BF431713EF85}">
  <dimension ref="A1:B5"/>
  <sheetViews>
    <sheetView workbookViewId="0"/>
  </sheetViews>
  <sheetFormatPr defaultRowHeight="14.5" x14ac:dyDescent="0.35"/>
  <cols>
    <col min="2" max="2" width="10.453125" bestFit="1" customWidth="1"/>
  </cols>
  <sheetData>
    <row r="1" spans="1:2" x14ac:dyDescent="0.35">
      <c r="A1" t="s">
        <v>2</v>
      </c>
      <c r="B1" t="s">
        <v>176</v>
      </c>
    </row>
    <row r="2" spans="1:2" x14ac:dyDescent="0.35">
      <c r="A2" s="8" t="s">
        <v>16</v>
      </c>
      <c r="B2">
        <v>4254890</v>
      </c>
    </row>
    <row r="3" spans="1:2" x14ac:dyDescent="0.35">
      <c r="A3" s="8" t="s">
        <v>24</v>
      </c>
      <c r="B3">
        <v>941274</v>
      </c>
    </row>
    <row r="4" spans="1:2" x14ac:dyDescent="0.35">
      <c r="A4" s="8" t="s">
        <v>32</v>
      </c>
      <c r="B4">
        <v>1778580</v>
      </c>
    </row>
    <row r="5" spans="1:2" x14ac:dyDescent="0.35">
      <c r="A5" s="8" t="s">
        <v>35</v>
      </c>
      <c r="B5">
        <v>2418620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EF21-81F8-416D-84F0-4493C76C4FF2}">
  <dimension ref="A1:AP71"/>
  <sheetViews>
    <sheetView topLeftCell="F1" workbookViewId="0">
      <selection activeCell="K1" sqref="K1:K1048576"/>
    </sheetView>
  </sheetViews>
  <sheetFormatPr defaultRowHeight="14.5" x14ac:dyDescent="0.35"/>
  <cols>
    <col min="1" max="1" width="9.81640625" bestFit="1" customWidth="1"/>
    <col min="2" max="2" width="12" bestFit="1" customWidth="1"/>
    <col min="4" max="4" width="13.08984375" bestFit="1" customWidth="1"/>
    <col min="5" max="5" width="13.1796875" bestFit="1" customWidth="1"/>
    <col min="6" max="6" width="11.7265625" bestFit="1" customWidth="1"/>
    <col min="7" max="7" width="11.1796875" bestFit="1" customWidth="1"/>
    <col min="8" max="8" width="10.453125" bestFit="1" customWidth="1"/>
    <col min="9" max="9" width="10.7265625" bestFit="1" customWidth="1"/>
    <col min="10" max="10" width="11.90625" bestFit="1" customWidth="1"/>
    <col min="11" max="11" width="14.08984375" bestFit="1" customWidth="1"/>
    <col min="12" max="12" width="6.81640625" bestFit="1" customWidth="1"/>
    <col min="13" max="13" width="7.81640625" bestFit="1" customWidth="1"/>
    <col min="14" max="14" width="15.54296875" bestFit="1" customWidth="1"/>
    <col min="15" max="15" width="8.81640625" bestFit="1" customWidth="1"/>
    <col min="16" max="16" width="8.90625" bestFit="1" customWidth="1"/>
    <col min="17" max="17" width="8.6328125" bestFit="1" customWidth="1"/>
    <col min="18" max="18" width="7.08984375" bestFit="1" customWidth="1"/>
    <col min="19" max="19" width="8.6328125" bestFit="1" customWidth="1"/>
    <col min="20" max="20" width="11.81640625" bestFit="1" customWidth="1"/>
    <col min="21" max="21" width="12.1796875" bestFit="1" customWidth="1"/>
    <col min="22" max="22" width="11.453125" bestFit="1" customWidth="1"/>
    <col min="23" max="23" width="8.54296875" bestFit="1" customWidth="1"/>
    <col min="24" max="24" width="7" bestFit="1" customWidth="1"/>
    <col min="25" max="25" width="8.81640625" bestFit="1" customWidth="1"/>
    <col min="26" max="26" width="13.90625" bestFit="1" customWidth="1"/>
    <col min="27" max="27" width="8.36328125" bestFit="1" customWidth="1"/>
    <col min="28" max="28" width="11.1796875" bestFit="1" customWidth="1"/>
    <col min="29" max="29" width="9.6328125" bestFit="1" customWidth="1"/>
    <col min="30" max="30" width="6.36328125" bestFit="1" customWidth="1"/>
    <col min="31" max="32" width="15.1796875" bestFit="1" customWidth="1"/>
    <col min="33" max="33" width="12.54296875" bestFit="1" customWidth="1"/>
    <col min="34" max="34" width="14.81640625" bestFit="1" customWidth="1"/>
    <col min="35" max="35" width="12.36328125" bestFit="1" customWidth="1"/>
    <col min="36" max="36" width="10.6328125" bestFit="1" customWidth="1"/>
    <col min="37" max="37" width="17.54296875" bestFit="1" customWidth="1"/>
    <col min="38" max="38" width="7.36328125" bestFit="1" customWidth="1"/>
    <col min="39" max="39" width="11.36328125" bestFit="1" customWidth="1"/>
    <col min="40" max="40" width="9.90625" bestFit="1" customWidth="1"/>
    <col min="41" max="41" width="10.54296875" bestFit="1" customWidth="1"/>
    <col min="42" max="42" width="14.08984375" bestFit="1" customWidth="1"/>
  </cols>
  <sheetData>
    <row r="1" spans="1:42" x14ac:dyDescent="0.35">
      <c r="A1" t="s">
        <v>0</v>
      </c>
      <c r="B1" t="s">
        <v>1</v>
      </c>
      <c r="C1" t="s">
        <v>2</v>
      </c>
      <c r="D1" t="s">
        <v>3</v>
      </c>
      <c r="E1" t="s">
        <v>4</v>
      </c>
      <c r="F1" t="s">
        <v>5</v>
      </c>
      <c r="G1" t="s">
        <v>6</v>
      </c>
      <c r="H1" t="s">
        <v>7</v>
      </c>
      <c r="I1" t="s">
        <v>8</v>
      </c>
      <c r="J1" t="s">
        <v>9</v>
      </c>
      <c r="K1" t="s">
        <v>10</v>
      </c>
      <c r="L1" t="s">
        <v>11</v>
      </c>
      <c r="M1" t="s">
        <v>12</v>
      </c>
      <c r="N1" t="s">
        <v>13</v>
      </c>
      <c r="O1" t="s">
        <v>14</v>
      </c>
      <c r="P1" t="s">
        <v>103</v>
      </c>
      <c r="Q1" t="s">
        <v>104</v>
      </c>
      <c r="R1" t="s">
        <v>105</v>
      </c>
      <c r="S1" t="s">
        <v>101</v>
      </c>
      <c r="T1" t="s">
        <v>102</v>
      </c>
      <c r="U1" t="s">
        <v>107</v>
      </c>
      <c r="V1" t="s">
        <v>108</v>
      </c>
      <c r="W1" t="s">
        <v>109</v>
      </c>
      <c r="X1" t="s">
        <v>110</v>
      </c>
      <c r="Y1" t="s">
        <v>111</v>
      </c>
      <c r="Z1" t="s">
        <v>112</v>
      </c>
      <c r="AA1" t="s">
        <v>113</v>
      </c>
      <c r="AB1" t="s">
        <v>114</v>
      </c>
      <c r="AC1" t="s">
        <v>115</v>
      </c>
      <c r="AD1" t="s">
        <v>116</v>
      </c>
      <c r="AE1" t="s">
        <v>117</v>
      </c>
      <c r="AF1" t="s">
        <v>118</v>
      </c>
      <c r="AG1" t="s">
        <v>119</v>
      </c>
      <c r="AH1" t="s">
        <v>120</v>
      </c>
      <c r="AI1" t="s">
        <v>121</v>
      </c>
      <c r="AJ1" t="s">
        <v>139</v>
      </c>
      <c r="AK1" t="s">
        <v>122</v>
      </c>
      <c r="AL1" t="s">
        <v>123</v>
      </c>
      <c r="AM1" t="s">
        <v>124</v>
      </c>
      <c r="AN1" t="s">
        <v>125</v>
      </c>
      <c r="AO1" t="s">
        <v>126</v>
      </c>
      <c r="AP1" t="s">
        <v>175</v>
      </c>
    </row>
    <row r="2" spans="1:42" x14ac:dyDescent="0.35">
      <c r="A2">
        <v>1001</v>
      </c>
      <c r="B2" s="1">
        <v>45701</v>
      </c>
      <c r="C2" s="8" t="s">
        <v>16</v>
      </c>
      <c r="D2" s="8" t="s">
        <v>17</v>
      </c>
      <c r="E2" s="8" t="s">
        <v>18</v>
      </c>
      <c r="F2" s="8" t="s">
        <v>19</v>
      </c>
      <c r="G2" s="8" t="s">
        <v>20</v>
      </c>
      <c r="H2">
        <v>15</v>
      </c>
      <c r="I2">
        <v>3000</v>
      </c>
      <c r="J2">
        <v>0.1</v>
      </c>
      <c r="K2">
        <v>40500</v>
      </c>
      <c r="L2">
        <v>30000</v>
      </c>
      <c r="M2">
        <v>10500</v>
      </c>
      <c r="N2" s="8" t="s">
        <v>21</v>
      </c>
      <c r="O2" s="8" t="s">
        <v>22</v>
      </c>
      <c r="P2" s="8" t="s">
        <v>147</v>
      </c>
      <c r="Q2" t="b">
        <v>0</v>
      </c>
      <c r="R2" t="b">
        <v>0</v>
      </c>
      <c r="S2" t="b">
        <v>0</v>
      </c>
      <c r="T2">
        <v>0.25925925925925924</v>
      </c>
      <c r="U2" s="8" t="s">
        <v>148</v>
      </c>
      <c r="V2" s="8" t="s">
        <v>149</v>
      </c>
      <c r="W2" s="8" t="s">
        <v>150</v>
      </c>
      <c r="X2" s="8" t="s">
        <v>151</v>
      </c>
      <c r="Y2" s="8" t="s">
        <v>152</v>
      </c>
      <c r="Z2" s="8" t="s">
        <v>148</v>
      </c>
      <c r="AA2">
        <v>5</v>
      </c>
      <c r="AB2" s="8" t="s">
        <v>20</v>
      </c>
      <c r="AC2" s="8" t="s">
        <v>153</v>
      </c>
      <c r="AD2">
        <v>2</v>
      </c>
      <c r="AE2" s="2">
        <v>46087</v>
      </c>
      <c r="AF2" s="2">
        <v>46087.668971874999</v>
      </c>
      <c r="AG2">
        <v>13</v>
      </c>
      <c r="AH2">
        <v>2</v>
      </c>
      <c r="AI2">
        <v>2025</v>
      </c>
      <c r="AJ2" s="8" t="s">
        <v>144</v>
      </c>
      <c r="AK2">
        <v>5</v>
      </c>
      <c r="AL2">
        <v>0.4375</v>
      </c>
      <c r="AM2">
        <v>10</v>
      </c>
      <c r="AN2">
        <v>30</v>
      </c>
      <c r="AP2">
        <v>0.25925925925925924</v>
      </c>
    </row>
    <row r="3" spans="1:42" x14ac:dyDescent="0.35">
      <c r="A3">
        <v>1002</v>
      </c>
      <c r="B3" s="1">
        <v>45716</v>
      </c>
      <c r="C3" s="8" t="s">
        <v>24</v>
      </c>
      <c r="D3" s="8" t="s">
        <v>25</v>
      </c>
      <c r="E3" s="8" t="s">
        <v>26</v>
      </c>
      <c r="F3" s="8" t="s">
        <v>27</v>
      </c>
      <c r="G3" s="8" t="s">
        <v>28</v>
      </c>
      <c r="H3">
        <v>8</v>
      </c>
      <c r="I3">
        <v>15000</v>
      </c>
      <c r="J3">
        <v>0</v>
      </c>
      <c r="K3">
        <v>120000</v>
      </c>
      <c r="L3">
        <v>96000</v>
      </c>
      <c r="M3">
        <v>24000</v>
      </c>
      <c r="N3" s="8" t="s">
        <v>29</v>
      </c>
      <c r="O3" s="8" t="s">
        <v>30</v>
      </c>
      <c r="P3" s="8" t="s">
        <v>147</v>
      </c>
      <c r="Q3" t="b">
        <v>0</v>
      </c>
      <c r="R3" t="b">
        <v>1</v>
      </c>
      <c r="S3" t="b">
        <v>0</v>
      </c>
      <c r="T3">
        <v>0.2</v>
      </c>
      <c r="U3" s="8" t="s">
        <v>154</v>
      </c>
      <c r="V3" s="8" t="s">
        <v>155</v>
      </c>
      <c r="W3" s="8" t="s">
        <v>156</v>
      </c>
      <c r="X3" s="8" t="s">
        <v>157</v>
      </c>
      <c r="Y3" s="8" t="s">
        <v>158</v>
      </c>
      <c r="Z3" s="8" t="s">
        <v>159</v>
      </c>
      <c r="AA3">
        <v>4</v>
      </c>
      <c r="AB3" s="8" t="s">
        <v>28</v>
      </c>
      <c r="AC3" s="8" t="s">
        <v>160</v>
      </c>
      <c r="AD3">
        <v>3</v>
      </c>
      <c r="AE3" s="2">
        <v>46087</v>
      </c>
      <c r="AF3" s="2">
        <v>46087.668971874999</v>
      </c>
      <c r="AG3">
        <v>28</v>
      </c>
      <c r="AH3">
        <v>2</v>
      </c>
      <c r="AI3">
        <v>2025</v>
      </c>
      <c r="AJ3" s="8" t="s">
        <v>140</v>
      </c>
      <c r="AK3">
        <v>6</v>
      </c>
      <c r="AL3">
        <v>0.4375</v>
      </c>
      <c r="AM3">
        <v>10</v>
      </c>
      <c r="AN3">
        <v>30</v>
      </c>
      <c r="AP3">
        <v>0.2</v>
      </c>
    </row>
    <row r="4" spans="1:42" x14ac:dyDescent="0.35">
      <c r="A4">
        <v>1003</v>
      </c>
      <c r="B4" s="1">
        <v>45711</v>
      </c>
      <c r="C4" s="8" t="s">
        <v>32</v>
      </c>
      <c r="D4" s="8" t="s">
        <v>17</v>
      </c>
      <c r="E4" s="8" t="s">
        <v>26</v>
      </c>
      <c r="F4" s="8" t="s">
        <v>33</v>
      </c>
      <c r="G4" s="8" t="s">
        <v>20</v>
      </c>
      <c r="H4">
        <v>19</v>
      </c>
      <c r="I4">
        <v>20000</v>
      </c>
      <c r="J4">
        <v>0.1</v>
      </c>
      <c r="K4">
        <v>342000</v>
      </c>
      <c r="L4">
        <v>285000</v>
      </c>
      <c r="M4">
        <v>57000</v>
      </c>
      <c r="N4" s="8" t="s">
        <v>29</v>
      </c>
      <c r="O4" s="8" t="s">
        <v>22</v>
      </c>
      <c r="P4" s="8" t="s">
        <v>147</v>
      </c>
      <c r="Q4" t="b">
        <v>1</v>
      </c>
      <c r="R4" t="b">
        <v>1</v>
      </c>
      <c r="S4" t="b">
        <v>0</v>
      </c>
      <c r="T4">
        <v>0.16666666666666666</v>
      </c>
      <c r="U4" s="8" t="s">
        <v>148</v>
      </c>
      <c r="V4" s="8" t="s">
        <v>149</v>
      </c>
      <c r="W4" s="8" t="s">
        <v>150</v>
      </c>
      <c r="X4" s="8" t="s">
        <v>151</v>
      </c>
      <c r="Y4" s="8" t="s">
        <v>152</v>
      </c>
      <c r="Z4" s="8" t="s">
        <v>148</v>
      </c>
      <c r="AA4">
        <v>5</v>
      </c>
      <c r="AB4" s="8" t="s">
        <v>20</v>
      </c>
      <c r="AC4" s="8" t="s">
        <v>153</v>
      </c>
      <c r="AD4">
        <v>2</v>
      </c>
      <c r="AE4" s="2">
        <v>46087</v>
      </c>
      <c r="AF4" s="2">
        <v>46087.668971874999</v>
      </c>
      <c r="AG4">
        <v>23</v>
      </c>
      <c r="AH4">
        <v>2</v>
      </c>
      <c r="AI4">
        <v>2025</v>
      </c>
      <c r="AJ4" s="8" t="s">
        <v>143</v>
      </c>
      <c r="AK4">
        <v>1</v>
      </c>
      <c r="AL4">
        <v>0.4375</v>
      </c>
      <c r="AM4">
        <v>10</v>
      </c>
      <c r="AN4">
        <v>30</v>
      </c>
      <c r="AP4">
        <v>0.16666666666666666</v>
      </c>
    </row>
    <row r="5" spans="1:42" x14ac:dyDescent="0.35">
      <c r="A5">
        <v>1004</v>
      </c>
      <c r="B5" s="1">
        <v>45698</v>
      </c>
      <c r="C5" s="8" t="s">
        <v>35</v>
      </c>
      <c r="D5" s="8" t="s">
        <v>25</v>
      </c>
      <c r="E5" s="8" t="s">
        <v>18</v>
      </c>
      <c r="F5" s="8" t="s">
        <v>36</v>
      </c>
      <c r="G5" s="8" t="s">
        <v>20</v>
      </c>
      <c r="H5">
        <v>19</v>
      </c>
      <c r="I5">
        <v>25000</v>
      </c>
      <c r="J5">
        <v>0.15</v>
      </c>
      <c r="K5">
        <v>403750</v>
      </c>
      <c r="L5">
        <v>342000</v>
      </c>
      <c r="M5">
        <v>61750</v>
      </c>
      <c r="N5" s="8" t="s">
        <v>21</v>
      </c>
      <c r="O5" s="8" t="s">
        <v>22</v>
      </c>
      <c r="P5" s="8" t="s">
        <v>161</v>
      </c>
      <c r="Q5" t="b">
        <v>0</v>
      </c>
      <c r="R5" t="b">
        <v>1</v>
      </c>
      <c r="S5" t="b">
        <v>0</v>
      </c>
      <c r="T5">
        <v>0.15294117647058825</v>
      </c>
      <c r="U5" s="8" t="s">
        <v>154</v>
      </c>
      <c r="V5" s="8" t="s">
        <v>155</v>
      </c>
      <c r="W5" s="8" t="s">
        <v>156</v>
      </c>
      <c r="X5" s="8" t="s">
        <v>157</v>
      </c>
      <c r="Y5" s="8" t="s">
        <v>158</v>
      </c>
      <c r="Z5" s="8" t="s">
        <v>159</v>
      </c>
      <c r="AA5">
        <v>4</v>
      </c>
      <c r="AB5" s="8" t="s">
        <v>20</v>
      </c>
      <c r="AC5" s="8" t="s">
        <v>160</v>
      </c>
      <c r="AD5">
        <v>3</v>
      </c>
      <c r="AE5" s="2">
        <v>46087</v>
      </c>
      <c r="AF5" s="2">
        <v>46087.668971874999</v>
      </c>
      <c r="AG5">
        <v>10</v>
      </c>
      <c r="AH5">
        <v>2</v>
      </c>
      <c r="AI5">
        <v>2025</v>
      </c>
      <c r="AJ5" s="8" t="s">
        <v>141</v>
      </c>
      <c r="AK5">
        <v>2</v>
      </c>
      <c r="AL5">
        <v>0.4375</v>
      </c>
      <c r="AM5">
        <v>10</v>
      </c>
      <c r="AN5">
        <v>30</v>
      </c>
      <c r="AP5">
        <v>0.15294117647058825</v>
      </c>
    </row>
    <row r="6" spans="1:42" x14ac:dyDescent="0.35">
      <c r="A6">
        <v>1005</v>
      </c>
      <c r="B6" s="1">
        <v>45717</v>
      </c>
      <c r="C6" s="8" t="s">
        <v>16</v>
      </c>
      <c r="D6" s="8" t="s">
        <v>17</v>
      </c>
      <c r="E6" s="8" t="s">
        <v>18</v>
      </c>
      <c r="F6" s="8" t="s">
        <v>38</v>
      </c>
      <c r="G6" s="8" t="s">
        <v>28</v>
      </c>
      <c r="H6">
        <v>2</v>
      </c>
      <c r="I6">
        <v>35000</v>
      </c>
      <c r="J6">
        <v>0.1</v>
      </c>
      <c r="K6">
        <v>63000</v>
      </c>
      <c r="L6">
        <v>50000</v>
      </c>
      <c r="M6">
        <v>13000</v>
      </c>
      <c r="N6" s="8" t="s">
        <v>39</v>
      </c>
      <c r="O6" s="8" t="s">
        <v>40</v>
      </c>
      <c r="P6" s="8" t="s">
        <v>147</v>
      </c>
      <c r="Q6" t="b">
        <v>0</v>
      </c>
      <c r="R6" t="b">
        <v>0</v>
      </c>
      <c r="S6" t="b">
        <v>0</v>
      </c>
      <c r="T6">
        <v>0.20634920634920634</v>
      </c>
      <c r="U6" s="8" t="s">
        <v>148</v>
      </c>
      <c r="V6" s="8" t="s">
        <v>149</v>
      </c>
      <c r="W6" s="8" t="s">
        <v>150</v>
      </c>
      <c r="X6" s="8" t="s">
        <v>151</v>
      </c>
      <c r="Y6" s="8" t="s">
        <v>152</v>
      </c>
      <c r="Z6" s="8" t="s">
        <v>148</v>
      </c>
      <c r="AA6">
        <v>5</v>
      </c>
      <c r="AB6" s="8" t="s">
        <v>28</v>
      </c>
      <c r="AC6" s="8" t="s">
        <v>153</v>
      </c>
      <c r="AD6">
        <v>2</v>
      </c>
      <c r="AE6" s="2">
        <v>46087</v>
      </c>
      <c r="AF6" s="2">
        <v>46087.668971874999</v>
      </c>
      <c r="AG6">
        <v>1</v>
      </c>
      <c r="AH6">
        <v>3</v>
      </c>
      <c r="AI6">
        <v>2025</v>
      </c>
      <c r="AJ6" s="8" t="s">
        <v>142</v>
      </c>
      <c r="AK6">
        <v>7</v>
      </c>
      <c r="AL6">
        <v>0.4375</v>
      </c>
      <c r="AM6">
        <v>10</v>
      </c>
      <c r="AN6">
        <v>30</v>
      </c>
      <c r="AP6">
        <v>0.20634920634920634</v>
      </c>
    </row>
    <row r="7" spans="1:42" x14ac:dyDescent="0.35">
      <c r="A7">
        <v>1006</v>
      </c>
      <c r="B7" s="1">
        <v>45679</v>
      </c>
      <c r="C7" s="8" t="s">
        <v>32</v>
      </c>
      <c r="D7" s="8" t="s">
        <v>42</v>
      </c>
      <c r="E7" s="8" t="s">
        <v>18</v>
      </c>
      <c r="F7" s="8" t="s">
        <v>43</v>
      </c>
      <c r="G7" s="8" t="s">
        <v>28</v>
      </c>
      <c r="H7">
        <v>8</v>
      </c>
      <c r="I7">
        <v>12000</v>
      </c>
      <c r="J7">
        <v>0.02</v>
      </c>
      <c r="K7">
        <v>94080</v>
      </c>
      <c r="L7">
        <v>64000</v>
      </c>
      <c r="M7">
        <v>30080</v>
      </c>
      <c r="N7" s="8" t="s">
        <v>44</v>
      </c>
      <c r="O7" s="8" t="s">
        <v>30</v>
      </c>
      <c r="P7" s="8" t="s">
        <v>147</v>
      </c>
      <c r="Q7" t="b">
        <v>0</v>
      </c>
      <c r="R7" t="b">
        <v>0</v>
      </c>
      <c r="S7" t="b">
        <v>0</v>
      </c>
      <c r="T7">
        <v>0.31972789115646261</v>
      </c>
      <c r="U7" s="8" t="s">
        <v>162</v>
      </c>
      <c r="V7" s="8" t="s">
        <v>163</v>
      </c>
      <c r="W7" s="8" t="s">
        <v>164</v>
      </c>
      <c r="X7" s="8" t="s">
        <v>165</v>
      </c>
      <c r="Y7" s="8" t="s">
        <v>166</v>
      </c>
      <c r="Z7" s="8" t="s">
        <v>162</v>
      </c>
      <c r="AA7">
        <v>5</v>
      </c>
      <c r="AB7" s="8" t="s">
        <v>28</v>
      </c>
      <c r="AC7" s="8" t="s">
        <v>167</v>
      </c>
      <c r="AD7">
        <v>2</v>
      </c>
      <c r="AE7" s="2">
        <v>46087</v>
      </c>
      <c r="AF7" s="2">
        <v>46087.668971874999</v>
      </c>
      <c r="AG7">
        <v>22</v>
      </c>
      <c r="AH7">
        <v>1</v>
      </c>
      <c r="AI7">
        <v>2025</v>
      </c>
      <c r="AJ7" s="8" t="s">
        <v>146</v>
      </c>
      <c r="AK7">
        <v>4</v>
      </c>
      <c r="AL7">
        <v>0.4375</v>
      </c>
      <c r="AM7">
        <v>10</v>
      </c>
      <c r="AN7">
        <v>30</v>
      </c>
      <c r="AP7">
        <v>0.31972789115646261</v>
      </c>
    </row>
    <row r="8" spans="1:42" x14ac:dyDescent="0.35">
      <c r="A8">
        <v>1007</v>
      </c>
      <c r="B8" s="1">
        <v>45675</v>
      </c>
      <c r="C8" s="8" t="s">
        <v>32</v>
      </c>
      <c r="D8" s="8" t="s">
        <v>42</v>
      </c>
      <c r="E8" s="8" t="s">
        <v>46</v>
      </c>
      <c r="F8" s="8" t="s">
        <v>47</v>
      </c>
      <c r="G8" s="8" t="s">
        <v>20</v>
      </c>
      <c r="H8">
        <v>5</v>
      </c>
      <c r="I8">
        <v>100</v>
      </c>
      <c r="J8">
        <v>0</v>
      </c>
      <c r="K8">
        <v>500</v>
      </c>
      <c r="L8">
        <v>250</v>
      </c>
      <c r="M8">
        <v>250</v>
      </c>
      <c r="N8" s="8" t="s">
        <v>29</v>
      </c>
      <c r="O8" s="8" t="s">
        <v>22</v>
      </c>
      <c r="P8" s="8" t="s">
        <v>147</v>
      </c>
      <c r="Q8" t="b">
        <v>0</v>
      </c>
      <c r="R8" t="b">
        <v>1</v>
      </c>
      <c r="S8" t="b">
        <v>1</v>
      </c>
      <c r="T8">
        <v>0.5</v>
      </c>
      <c r="U8" s="8" t="s">
        <v>162</v>
      </c>
      <c r="V8" s="8" t="s">
        <v>163</v>
      </c>
      <c r="W8" s="8" t="s">
        <v>164</v>
      </c>
      <c r="X8" s="8" t="s">
        <v>165</v>
      </c>
      <c r="Y8" s="8" t="s">
        <v>166</v>
      </c>
      <c r="Z8" s="8" t="s">
        <v>162</v>
      </c>
      <c r="AA8">
        <v>5</v>
      </c>
      <c r="AB8" s="8" t="s">
        <v>20</v>
      </c>
      <c r="AC8" s="8" t="s">
        <v>167</v>
      </c>
      <c r="AD8">
        <v>2</v>
      </c>
      <c r="AE8" s="2">
        <v>46087</v>
      </c>
      <c r="AF8" s="2">
        <v>46087.668971874999</v>
      </c>
      <c r="AG8">
        <v>18</v>
      </c>
      <c r="AH8">
        <v>1</v>
      </c>
      <c r="AI8">
        <v>2025</v>
      </c>
      <c r="AJ8" s="8" t="s">
        <v>142</v>
      </c>
      <c r="AK8">
        <v>7</v>
      </c>
      <c r="AL8">
        <v>0.4375</v>
      </c>
      <c r="AM8">
        <v>10</v>
      </c>
      <c r="AN8">
        <v>30</v>
      </c>
      <c r="AP8">
        <v>0.5</v>
      </c>
    </row>
    <row r="9" spans="1:42" x14ac:dyDescent="0.35">
      <c r="A9">
        <v>1008</v>
      </c>
      <c r="B9" s="1">
        <v>45660</v>
      </c>
      <c r="C9" s="8" t="s">
        <v>32</v>
      </c>
      <c r="D9" s="8" t="s">
        <v>17</v>
      </c>
      <c r="E9" s="8" t="s">
        <v>46</v>
      </c>
      <c r="F9" s="8" t="s">
        <v>49</v>
      </c>
      <c r="G9" s="8" t="s">
        <v>20</v>
      </c>
      <c r="H9">
        <v>10</v>
      </c>
      <c r="I9">
        <v>500</v>
      </c>
      <c r="J9">
        <v>0.1</v>
      </c>
      <c r="K9">
        <v>4500</v>
      </c>
      <c r="L9">
        <v>3500</v>
      </c>
      <c r="M9">
        <v>1000</v>
      </c>
      <c r="N9" s="8" t="s">
        <v>44</v>
      </c>
      <c r="O9" s="8" t="s">
        <v>22</v>
      </c>
      <c r="P9" s="8" t="s">
        <v>147</v>
      </c>
      <c r="Q9" t="b">
        <v>0</v>
      </c>
      <c r="R9" t="b">
        <v>0</v>
      </c>
      <c r="S9" t="b">
        <v>0</v>
      </c>
      <c r="T9">
        <v>0.22222222222222221</v>
      </c>
      <c r="U9" s="8" t="s">
        <v>148</v>
      </c>
      <c r="V9" s="8" t="s">
        <v>149</v>
      </c>
      <c r="W9" s="8" t="s">
        <v>150</v>
      </c>
      <c r="X9" s="8" t="s">
        <v>151</v>
      </c>
      <c r="Y9" s="8" t="s">
        <v>152</v>
      </c>
      <c r="Z9" s="8" t="s">
        <v>148</v>
      </c>
      <c r="AA9">
        <v>5</v>
      </c>
      <c r="AB9" s="8" t="s">
        <v>20</v>
      </c>
      <c r="AC9" s="8" t="s">
        <v>153</v>
      </c>
      <c r="AD9">
        <v>2</v>
      </c>
      <c r="AE9" s="2">
        <v>46087</v>
      </c>
      <c r="AF9" s="2">
        <v>46087.668971874999</v>
      </c>
      <c r="AG9">
        <v>3</v>
      </c>
      <c r="AH9">
        <v>1</v>
      </c>
      <c r="AI9">
        <v>2025</v>
      </c>
      <c r="AJ9" s="8" t="s">
        <v>140</v>
      </c>
      <c r="AK9">
        <v>6</v>
      </c>
      <c r="AL9">
        <v>0.4375</v>
      </c>
      <c r="AM9">
        <v>10</v>
      </c>
      <c r="AN9">
        <v>30</v>
      </c>
      <c r="AP9">
        <v>0.22222222222222221</v>
      </c>
    </row>
    <row r="10" spans="1:42" x14ac:dyDescent="0.35">
      <c r="A10">
        <v>1009</v>
      </c>
      <c r="B10" s="1">
        <v>45701</v>
      </c>
      <c r="C10" s="8" t="s">
        <v>16</v>
      </c>
      <c r="D10" s="8" t="s">
        <v>17</v>
      </c>
      <c r="E10" s="8" t="s">
        <v>26</v>
      </c>
      <c r="F10" s="8" t="s">
        <v>50</v>
      </c>
      <c r="G10" s="8" t="s">
        <v>28</v>
      </c>
      <c r="H10">
        <v>4</v>
      </c>
      <c r="I10">
        <v>55000</v>
      </c>
      <c r="J10">
        <v>0.05</v>
      </c>
      <c r="K10">
        <v>209000</v>
      </c>
      <c r="L10">
        <v>200000</v>
      </c>
      <c r="M10">
        <v>9000</v>
      </c>
      <c r="N10" s="8" t="s">
        <v>29</v>
      </c>
      <c r="O10" s="8" t="s">
        <v>30</v>
      </c>
      <c r="P10" s="8" t="s">
        <v>147</v>
      </c>
      <c r="Q10" t="b">
        <v>0</v>
      </c>
      <c r="R10" t="b">
        <v>1</v>
      </c>
      <c r="S10" t="b">
        <v>0</v>
      </c>
      <c r="T10">
        <v>4.3062200956937802E-2</v>
      </c>
      <c r="U10" s="8" t="s">
        <v>148</v>
      </c>
      <c r="V10" s="8" t="s">
        <v>149</v>
      </c>
      <c r="W10" s="8" t="s">
        <v>150</v>
      </c>
      <c r="X10" s="8" t="s">
        <v>151</v>
      </c>
      <c r="Y10" s="8" t="s">
        <v>152</v>
      </c>
      <c r="Z10" s="8" t="s">
        <v>148</v>
      </c>
      <c r="AA10">
        <v>5</v>
      </c>
      <c r="AB10" s="8" t="s">
        <v>28</v>
      </c>
      <c r="AC10" s="8" t="s">
        <v>153</v>
      </c>
      <c r="AD10">
        <v>2</v>
      </c>
      <c r="AE10" s="2">
        <v>46087</v>
      </c>
      <c r="AF10" s="2">
        <v>46087.668971874999</v>
      </c>
      <c r="AG10">
        <v>13</v>
      </c>
      <c r="AH10">
        <v>2</v>
      </c>
      <c r="AI10">
        <v>2025</v>
      </c>
      <c r="AJ10" s="8" t="s">
        <v>144</v>
      </c>
      <c r="AK10">
        <v>5</v>
      </c>
      <c r="AL10">
        <v>0.4375</v>
      </c>
      <c r="AM10">
        <v>10</v>
      </c>
      <c r="AN10">
        <v>30</v>
      </c>
      <c r="AP10">
        <v>4.3062200956937802E-2</v>
      </c>
    </row>
    <row r="11" spans="1:42" x14ac:dyDescent="0.35">
      <c r="A11">
        <v>1010</v>
      </c>
      <c r="B11" s="1">
        <v>45685</v>
      </c>
      <c r="C11" s="8" t="s">
        <v>35</v>
      </c>
      <c r="D11" s="8" t="s">
        <v>17</v>
      </c>
      <c r="E11" s="8" t="s">
        <v>26</v>
      </c>
      <c r="F11" s="8" t="s">
        <v>27</v>
      </c>
      <c r="G11" s="8" t="s">
        <v>52</v>
      </c>
      <c r="H11">
        <v>3</v>
      </c>
      <c r="I11">
        <v>15000</v>
      </c>
      <c r="J11">
        <v>0.02</v>
      </c>
      <c r="K11">
        <v>44100</v>
      </c>
      <c r="L11">
        <v>36000</v>
      </c>
      <c r="M11">
        <v>8100</v>
      </c>
      <c r="N11" s="8" t="s">
        <v>39</v>
      </c>
      <c r="O11" s="8" t="s">
        <v>22</v>
      </c>
      <c r="P11" s="8" t="s">
        <v>147</v>
      </c>
      <c r="Q11" t="b">
        <v>0</v>
      </c>
      <c r="R11" t="b">
        <v>0</v>
      </c>
      <c r="S11" t="b">
        <v>0</v>
      </c>
      <c r="T11">
        <v>0.18367346938775511</v>
      </c>
      <c r="U11" s="8" t="s">
        <v>148</v>
      </c>
      <c r="V11" s="8" t="s">
        <v>149</v>
      </c>
      <c r="W11" s="8" t="s">
        <v>150</v>
      </c>
      <c r="X11" s="8" t="s">
        <v>151</v>
      </c>
      <c r="Y11" s="8" t="s">
        <v>152</v>
      </c>
      <c r="Z11" s="8" t="s">
        <v>148</v>
      </c>
      <c r="AA11">
        <v>5</v>
      </c>
      <c r="AB11" s="8" t="s">
        <v>52</v>
      </c>
      <c r="AC11" s="8" t="s">
        <v>153</v>
      </c>
      <c r="AD11">
        <v>2</v>
      </c>
      <c r="AE11" s="2">
        <v>46087</v>
      </c>
      <c r="AF11" s="2">
        <v>46087.668971874999</v>
      </c>
      <c r="AG11">
        <v>28</v>
      </c>
      <c r="AH11">
        <v>1</v>
      </c>
      <c r="AI11">
        <v>2025</v>
      </c>
      <c r="AJ11" s="8" t="s">
        <v>145</v>
      </c>
      <c r="AK11">
        <v>3</v>
      </c>
      <c r="AL11">
        <v>0.4375</v>
      </c>
      <c r="AM11">
        <v>10</v>
      </c>
      <c r="AN11">
        <v>30</v>
      </c>
      <c r="AP11">
        <v>0.18367346938775511</v>
      </c>
    </row>
    <row r="12" spans="1:42" x14ac:dyDescent="0.35">
      <c r="A12">
        <v>1011</v>
      </c>
      <c r="B12" s="1">
        <v>45659</v>
      </c>
      <c r="C12" s="8" t="s">
        <v>16</v>
      </c>
      <c r="D12" s="8" t="s">
        <v>54</v>
      </c>
      <c r="E12" s="8" t="s">
        <v>26</v>
      </c>
      <c r="F12" s="8" t="s">
        <v>33</v>
      </c>
      <c r="G12" s="8" t="s">
        <v>52</v>
      </c>
      <c r="H12">
        <v>11</v>
      </c>
      <c r="I12">
        <v>20000</v>
      </c>
      <c r="J12">
        <v>0.1</v>
      </c>
      <c r="K12">
        <v>198000</v>
      </c>
      <c r="L12">
        <v>165000</v>
      </c>
      <c r="M12">
        <v>33000</v>
      </c>
      <c r="N12" s="8" t="s">
        <v>44</v>
      </c>
      <c r="O12" s="8" t="s">
        <v>40</v>
      </c>
      <c r="P12" s="8" t="s">
        <v>147</v>
      </c>
      <c r="Q12" t="b">
        <v>0</v>
      </c>
      <c r="R12" t="b">
        <v>0</v>
      </c>
      <c r="S12" t="b">
        <v>0</v>
      </c>
      <c r="T12">
        <v>0.16666666666666666</v>
      </c>
      <c r="U12" s="8" t="s">
        <v>168</v>
      </c>
      <c r="V12" s="8" t="s">
        <v>169</v>
      </c>
      <c r="W12" s="8" t="s">
        <v>170</v>
      </c>
      <c r="X12" s="8" t="s">
        <v>171</v>
      </c>
      <c r="Y12" s="8" t="s">
        <v>172</v>
      </c>
      <c r="Z12" s="8" t="s">
        <v>168</v>
      </c>
      <c r="AA12">
        <v>5</v>
      </c>
      <c r="AB12" s="8" t="s">
        <v>52</v>
      </c>
      <c r="AC12" s="8" t="s">
        <v>173</v>
      </c>
      <c r="AD12">
        <v>2</v>
      </c>
      <c r="AE12" s="2">
        <v>46087</v>
      </c>
      <c r="AF12" s="2">
        <v>46087.668971874999</v>
      </c>
      <c r="AG12">
        <v>2</v>
      </c>
      <c r="AH12">
        <v>1</v>
      </c>
      <c r="AI12">
        <v>2025</v>
      </c>
      <c r="AJ12" s="8" t="s">
        <v>144</v>
      </c>
      <c r="AK12">
        <v>5</v>
      </c>
      <c r="AL12">
        <v>0.4375</v>
      </c>
      <c r="AM12">
        <v>10</v>
      </c>
      <c r="AN12">
        <v>30</v>
      </c>
      <c r="AP12">
        <v>0.16666666666666666</v>
      </c>
    </row>
    <row r="13" spans="1:42" x14ac:dyDescent="0.35">
      <c r="A13">
        <v>1012</v>
      </c>
      <c r="B13" s="1">
        <v>45694</v>
      </c>
      <c r="C13" s="8" t="s">
        <v>24</v>
      </c>
      <c r="D13" s="8" t="s">
        <v>25</v>
      </c>
      <c r="E13" s="8" t="s">
        <v>46</v>
      </c>
      <c r="F13" s="8" t="s">
        <v>47</v>
      </c>
      <c r="G13" s="8" t="s">
        <v>20</v>
      </c>
      <c r="H13">
        <v>5</v>
      </c>
      <c r="I13">
        <v>100</v>
      </c>
      <c r="J13">
        <v>0.08</v>
      </c>
      <c r="K13">
        <v>460</v>
      </c>
      <c r="L13">
        <v>250</v>
      </c>
      <c r="M13">
        <v>210</v>
      </c>
      <c r="N13" s="8" t="s">
        <v>44</v>
      </c>
      <c r="O13" s="8" t="s">
        <v>30</v>
      </c>
      <c r="P13" s="8" t="s">
        <v>147</v>
      </c>
      <c r="Q13" t="b">
        <v>0</v>
      </c>
      <c r="R13" t="b">
        <v>0</v>
      </c>
      <c r="S13" t="b">
        <v>1</v>
      </c>
      <c r="T13">
        <v>0.45652173913043476</v>
      </c>
      <c r="U13" s="8" t="s">
        <v>154</v>
      </c>
      <c r="V13" s="8" t="s">
        <v>155</v>
      </c>
      <c r="W13" s="8" t="s">
        <v>156</v>
      </c>
      <c r="X13" s="8" t="s">
        <v>157</v>
      </c>
      <c r="Y13" s="8" t="s">
        <v>158</v>
      </c>
      <c r="Z13" s="8" t="s">
        <v>159</v>
      </c>
      <c r="AA13">
        <v>4</v>
      </c>
      <c r="AB13" s="8" t="s">
        <v>20</v>
      </c>
      <c r="AC13" s="8" t="s">
        <v>160</v>
      </c>
      <c r="AD13">
        <v>3</v>
      </c>
      <c r="AE13" s="2">
        <v>46087</v>
      </c>
      <c r="AF13" s="2">
        <v>46087.668971874999</v>
      </c>
      <c r="AG13">
        <v>6</v>
      </c>
      <c r="AH13">
        <v>2</v>
      </c>
      <c r="AI13">
        <v>2025</v>
      </c>
      <c r="AJ13" s="8" t="s">
        <v>144</v>
      </c>
      <c r="AK13">
        <v>5</v>
      </c>
      <c r="AL13">
        <v>0.4375</v>
      </c>
      <c r="AM13">
        <v>10</v>
      </c>
      <c r="AN13">
        <v>30</v>
      </c>
      <c r="AP13">
        <v>0.45652173913043476</v>
      </c>
    </row>
    <row r="14" spans="1:42" x14ac:dyDescent="0.35">
      <c r="A14">
        <v>1013</v>
      </c>
      <c r="B14" s="1">
        <v>45711</v>
      </c>
      <c r="C14" s="8" t="s">
        <v>16</v>
      </c>
      <c r="D14" s="8" t="s">
        <v>54</v>
      </c>
      <c r="E14" s="8" t="s">
        <v>26</v>
      </c>
      <c r="F14" s="8" t="s">
        <v>50</v>
      </c>
      <c r="G14" s="8" t="s">
        <v>28</v>
      </c>
      <c r="H14">
        <v>6</v>
      </c>
      <c r="I14">
        <v>55000</v>
      </c>
      <c r="J14">
        <v>0.05</v>
      </c>
      <c r="K14">
        <v>313500</v>
      </c>
      <c r="L14">
        <v>300000</v>
      </c>
      <c r="M14">
        <v>13500</v>
      </c>
      <c r="N14" s="8" t="s">
        <v>21</v>
      </c>
      <c r="O14" s="8" t="s">
        <v>22</v>
      </c>
      <c r="P14" s="8" t="s">
        <v>147</v>
      </c>
      <c r="Q14" t="b">
        <v>0</v>
      </c>
      <c r="R14" t="b">
        <v>1</v>
      </c>
      <c r="S14" t="b">
        <v>0</v>
      </c>
      <c r="T14">
        <v>4.3062200956937802E-2</v>
      </c>
      <c r="U14" s="8" t="s">
        <v>168</v>
      </c>
      <c r="V14" s="8" t="s">
        <v>169</v>
      </c>
      <c r="W14" s="8" t="s">
        <v>170</v>
      </c>
      <c r="X14" s="8" t="s">
        <v>171</v>
      </c>
      <c r="Y14" s="8" t="s">
        <v>172</v>
      </c>
      <c r="Z14" s="8" t="s">
        <v>168</v>
      </c>
      <c r="AA14">
        <v>5</v>
      </c>
      <c r="AB14" s="8" t="s">
        <v>28</v>
      </c>
      <c r="AC14" s="8" t="s">
        <v>173</v>
      </c>
      <c r="AD14">
        <v>2</v>
      </c>
      <c r="AE14" s="2">
        <v>46087</v>
      </c>
      <c r="AF14" s="2">
        <v>46087.668971874999</v>
      </c>
      <c r="AG14">
        <v>23</v>
      </c>
      <c r="AH14">
        <v>2</v>
      </c>
      <c r="AI14">
        <v>2025</v>
      </c>
      <c r="AJ14" s="8" t="s">
        <v>143</v>
      </c>
      <c r="AK14">
        <v>1</v>
      </c>
      <c r="AL14">
        <v>0.4375</v>
      </c>
      <c r="AM14">
        <v>10</v>
      </c>
      <c r="AN14">
        <v>30</v>
      </c>
      <c r="AP14">
        <v>4.3062200956937802E-2</v>
      </c>
    </row>
    <row r="15" spans="1:42" x14ac:dyDescent="0.35">
      <c r="A15">
        <v>1014</v>
      </c>
      <c r="B15" s="1">
        <v>45691</v>
      </c>
      <c r="C15" s="8" t="s">
        <v>32</v>
      </c>
      <c r="D15" s="8" t="s">
        <v>54</v>
      </c>
      <c r="E15" s="8" t="s">
        <v>26</v>
      </c>
      <c r="F15" s="8" t="s">
        <v>27</v>
      </c>
      <c r="G15" s="8" t="s">
        <v>20</v>
      </c>
      <c r="H15">
        <v>20</v>
      </c>
      <c r="I15">
        <v>15000</v>
      </c>
      <c r="J15">
        <v>0.1</v>
      </c>
      <c r="K15">
        <v>270000</v>
      </c>
      <c r="L15">
        <v>240000</v>
      </c>
      <c r="M15">
        <v>30000</v>
      </c>
      <c r="N15" s="8" t="s">
        <v>39</v>
      </c>
      <c r="O15" s="8" t="s">
        <v>40</v>
      </c>
      <c r="P15" s="8" t="s">
        <v>147</v>
      </c>
      <c r="Q15" t="b">
        <v>0</v>
      </c>
      <c r="R15" t="b">
        <v>0</v>
      </c>
      <c r="S15" t="b">
        <v>0</v>
      </c>
      <c r="T15">
        <v>0.1111111111111111</v>
      </c>
      <c r="U15" s="8" t="s">
        <v>168</v>
      </c>
      <c r="V15" s="8" t="s">
        <v>169</v>
      </c>
      <c r="W15" s="8" t="s">
        <v>170</v>
      </c>
      <c r="X15" s="8" t="s">
        <v>171</v>
      </c>
      <c r="Y15" s="8" t="s">
        <v>172</v>
      </c>
      <c r="Z15" s="8" t="s">
        <v>168</v>
      </c>
      <c r="AA15">
        <v>5</v>
      </c>
      <c r="AB15" s="8" t="s">
        <v>20</v>
      </c>
      <c r="AC15" s="8" t="s">
        <v>173</v>
      </c>
      <c r="AD15">
        <v>2</v>
      </c>
      <c r="AE15" s="2">
        <v>46087</v>
      </c>
      <c r="AF15" s="2">
        <v>46087.668971874999</v>
      </c>
      <c r="AG15">
        <v>3</v>
      </c>
      <c r="AH15">
        <v>2</v>
      </c>
      <c r="AI15">
        <v>2025</v>
      </c>
      <c r="AJ15" s="8" t="s">
        <v>141</v>
      </c>
      <c r="AK15">
        <v>2</v>
      </c>
      <c r="AL15">
        <v>0.4375</v>
      </c>
      <c r="AM15">
        <v>10</v>
      </c>
      <c r="AN15">
        <v>30</v>
      </c>
      <c r="AP15">
        <v>0.1111111111111111</v>
      </c>
    </row>
    <row r="16" spans="1:42" x14ac:dyDescent="0.35">
      <c r="A16">
        <v>1015</v>
      </c>
      <c r="B16" s="1">
        <v>45713</v>
      </c>
      <c r="C16" s="8" t="s">
        <v>16</v>
      </c>
      <c r="D16" s="8" t="s">
        <v>54</v>
      </c>
      <c r="E16" s="8" t="s">
        <v>26</v>
      </c>
      <c r="F16" s="8" t="s">
        <v>50</v>
      </c>
      <c r="G16" s="8" t="s">
        <v>52</v>
      </c>
      <c r="H16">
        <v>11</v>
      </c>
      <c r="I16">
        <v>55000</v>
      </c>
      <c r="J16">
        <v>0.1</v>
      </c>
      <c r="K16">
        <v>544500</v>
      </c>
      <c r="L16">
        <v>550000</v>
      </c>
      <c r="M16">
        <v>-5500</v>
      </c>
      <c r="N16" s="8" t="s">
        <v>29</v>
      </c>
      <c r="O16" s="8" t="s">
        <v>40</v>
      </c>
      <c r="P16" s="8" t="s">
        <v>161</v>
      </c>
      <c r="Q16" t="b">
        <v>1</v>
      </c>
      <c r="R16" t="b">
        <v>1</v>
      </c>
      <c r="S16" t="b">
        <v>0</v>
      </c>
      <c r="T16">
        <v>-1.0101010101010102E-2</v>
      </c>
      <c r="U16" s="8" t="s">
        <v>168</v>
      </c>
      <c r="V16" s="8" t="s">
        <v>169</v>
      </c>
      <c r="W16" s="8" t="s">
        <v>170</v>
      </c>
      <c r="X16" s="8" t="s">
        <v>171</v>
      </c>
      <c r="Y16" s="8" t="s">
        <v>172</v>
      </c>
      <c r="Z16" s="8" t="s">
        <v>168</v>
      </c>
      <c r="AA16">
        <v>5</v>
      </c>
      <c r="AB16" s="8" t="s">
        <v>52</v>
      </c>
      <c r="AC16" s="8" t="s">
        <v>173</v>
      </c>
      <c r="AD16">
        <v>2</v>
      </c>
      <c r="AE16" s="2">
        <v>46087</v>
      </c>
      <c r="AF16" s="2">
        <v>46087.668971874999</v>
      </c>
      <c r="AG16">
        <v>25</v>
      </c>
      <c r="AH16">
        <v>2</v>
      </c>
      <c r="AI16">
        <v>2025</v>
      </c>
      <c r="AJ16" s="8" t="s">
        <v>145</v>
      </c>
      <c r="AK16">
        <v>3</v>
      </c>
      <c r="AL16">
        <v>0.4375</v>
      </c>
      <c r="AM16">
        <v>10</v>
      </c>
      <c r="AN16">
        <v>30</v>
      </c>
      <c r="AP16">
        <v>-1.0101010101010102E-2</v>
      </c>
    </row>
    <row r="17" spans="1:42" x14ac:dyDescent="0.35">
      <c r="A17">
        <v>1016</v>
      </c>
      <c r="B17" s="1">
        <v>45680</v>
      </c>
      <c r="C17" s="8" t="s">
        <v>24</v>
      </c>
      <c r="D17" s="8" t="s">
        <v>25</v>
      </c>
      <c r="E17" s="8" t="s">
        <v>26</v>
      </c>
      <c r="F17" s="8" t="s">
        <v>59</v>
      </c>
      <c r="G17" s="8" t="s">
        <v>28</v>
      </c>
      <c r="H17">
        <v>18</v>
      </c>
      <c r="I17">
        <v>2000</v>
      </c>
      <c r="J17">
        <v>0.02</v>
      </c>
      <c r="K17">
        <v>35280</v>
      </c>
      <c r="L17">
        <v>27000</v>
      </c>
      <c r="M17">
        <v>8280</v>
      </c>
      <c r="N17" s="8" t="s">
        <v>44</v>
      </c>
      <c r="O17" s="8" t="s">
        <v>30</v>
      </c>
      <c r="P17" s="8" t="s">
        <v>147</v>
      </c>
      <c r="Q17" t="b">
        <v>0</v>
      </c>
      <c r="R17" t="b">
        <v>0</v>
      </c>
      <c r="S17" t="b">
        <v>0</v>
      </c>
      <c r="T17">
        <v>0.23469387755102042</v>
      </c>
      <c r="U17" s="8" t="s">
        <v>154</v>
      </c>
      <c r="V17" s="8" t="s">
        <v>155</v>
      </c>
      <c r="W17" s="8" t="s">
        <v>156</v>
      </c>
      <c r="X17" s="8" t="s">
        <v>157</v>
      </c>
      <c r="Y17" s="8" t="s">
        <v>158</v>
      </c>
      <c r="Z17" s="8" t="s">
        <v>159</v>
      </c>
      <c r="AA17">
        <v>4</v>
      </c>
      <c r="AB17" s="8" t="s">
        <v>28</v>
      </c>
      <c r="AC17" s="8" t="s">
        <v>160</v>
      </c>
      <c r="AD17">
        <v>3</v>
      </c>
      <c r="AE17" s="2">
        <v>46087</v>
      </c>
      <c r="AF17" s="2">
        <v>46087.668971874999</v>
      </c>
      <c r="AG17">
        <v>23</v>
      </c>
      <c r="AH17">
        <v>1</v>
      </c>
      <c r="AI17">
        <v>2025</v>
      </c>
      <c r="AJ17" s="8" t="s">
        <v>144</v>
      </c>
      <c r="AK17">
        <v>5</v>
      </c>
      <c r="AL17">
        <v>0.4375</v>
      </c>
      <c r="AM17">
        <v>10</v>
      </c>
      <c r="AN17">
        <v>30</v>
      </c>
      <c r="AP17">
        <v>0.23469387755102042</v>
      </c>
    </row>
    <row r="18" spans="1:42" x14ac:dyDescent="0.35">
      <c r="A18">
        <v>1017</v>
      </c>
      <c r="B18" s="1">
        <v>45662</v>
      </c>
      <c r="C18" s="8" t="s">
        <v>16</v>
      </c>
      <c r="D18" s="8" t="s">
        <v>42</v>
      </c>
      <c r="E18" s="8" t="s">
        <v>18</v>
      </c>
      <c r="F18" s="8" t="s">
        <v>38</v>
      </c>
      <c r="G18" s="8" t="s">
        <v>28</v>
      </c>
      <c r="H18">
        <v>10</v>
      </c>
      <c r="I18">
        <v>35000</v>
      </c>
      <c r="J18">
        <v>0.02</v>
      </c>
      <c r="K18">
        <v>343000</v>
      </c>
      <c r="L18">
        <v>250000</v>
      </c>
      <c r="M18">
        <v>93000</v>
      </c>
      <c r="N18" s="8" t="s">
        <v>39</v>
      </c>
      <c r="O18" s="8" t="s">
        <v>22</v>
      </c>
      <c r="P18" s="8" t="s">
        <v>147</v>
      </c>
      <c r="Q18" t="b">
        <v>0</v>
      </c>
      <c r="R18" t="b">
        <v>1</v>
      </c>
      <c r="S18" t="b">
        <v>0</v>
      </c>
      <c r="T18">
        <v>0.27113702623906705</v>
      </c>
      <c r="U18" s="8" t="s">
        <v>162</v>
      </c>
      <c r="V18" s="8" t="s">
        <v>163</v>
      </c>
      <c r="W18" s="8" t="s">
        <v>164</v>
      </c>
      <c r="X18" s="8" t="s">
        <v>165</v>
      </c>
      <c r="Y18" s="8" t="s">
        <v>166</v>
      </c>
      <c r="Z18" s="8" t="s">
        <v>162</v>
      </c>
      <c r="AA18">
        <v>5</v>
      </c>
      <c r="AB18" s="8" t="s">
        <v>28</v>
      </c>
      <c r="AC18" s="8" t="s">
        <v>167</v>
      </c>
      <c r="AD18">
        <v>2</v>
      </c>
      <c r="AE18" s="2">
        <v>46087</v>
      </c>
      <c r="AF18" s="2">
        <v>46087.668971874999</v>
      </c>
      <c r="AG18">
        <v>5</v>
      </c>
      <c r="AH18">
        <v>1</v>
      </c>
      <c r="AI18">
        <v>2025</v>
      </c>
      <c r="AJ18" s="8" t="s">
        <v>143</v>
      </c>
      <c r="AK18">
        <v>1</v>
      </c>
      <c r="AL18">
        <v>0.4375</v>
      </c>
      <c r="AM18">
        <v>10</v>
      </c>
      <c r="AN18">
        <v>30</v>
      </c>
      <c r="AP18">
        <v>0.27113702623906705</v>
      </c>
    </row>
    <row r="19" spans="1:42" x14ac:dyDescent="0.35">
      <c r="A19">
        <v>1018</v>
      </c>
      <c r="B19" s="1">
        <v>45670</v>
      </c>
      <c r="C19" s="8" t="s">
        <v>24</v>
      </c>
      <c r="D19" s="8" t="s">
        <v>42</v>
      </c>
      <c r="E19" s="8" t="s">
        <v>18</v>
      </c>
      <c r="F19" s="8" t="s">
        <v>19</v>
      </c>
      <c r="G19" s="8" t="s">
        <v>28</v>
      </c>
      <c r="H19">
        <v>13</v>
      </c>
      <c r="I19">
        <v>3000</v>
      </c>
      <c r="J19">
        <v>0</v>
      </c>
      <c r="K19">
        <v>39000</v>
      </c>
      <c r="L19">
        <v>26000</v>
      </c>
      <c r="M19">
        <v>13000</v>
      </c>
      <c r="N19" s="8" t="s">
        <v>39</v>
      </c>
      <c r="O19" s="8" t="s">
        <v>40</v>
      </c>
      <c r="P19" s="8" t="s">
        <v>147</v>
      </c>
      <c r="Q19" t="b">
        <v>0</v>
      </c>
      <c r="R19" t="b">
        <v>0</v>
      </c>
      <c r="S19" t="b">
        <v>0</v>
      </c>
      <c r="T19">
        <v>0.33333333333333331</v>
      </c>
      <c r="U19" s="8" t="s">
        <v>162</v>
      </c>
      <c r="V19" s="8" t="s">
        <v>163</v>
      </c>
      <c r="W19" s="8" t="s">
        <v>164</v>
      </c>
      <c r="X19" s="8" t="s">
        <v>165</v>
      </c>
      <c r="Y19" s="8" t="s">
        <v>166</v>
      </c>
      <c r="Z19" s="8" t="s">
        <v>162</v>
      </c>
      <c r="AA19">
        <v>5</v>
      </c>
      <c r="AB19" s="8" t="s">
        <v>28</v>
      </c>
      <c r="AC19" s="8" t="s">
        <v>167</v>
      </c>
      <c r="AD19">
        <v>2</v>
      </c>
      <c r="AE19" s="2">
        <v>46087</v>
      </c>
      <c r="AF19" s="2">
        <v>46087.668971874999</v>
      </c>
      <c r="AG19">
        <v>13</v>
      </c>
      <c r="AH19">
        <v>1</v>
      </c>
      <c r="AI19">
        <v>2025</v>
      </c>
      <c r="AJ19" s="8" t="s">
        <v>141</v>
      </c>
      <c r="AK19">
        <v>2</v>
      </c>
      <c r="AL19">
        <v>0.4375</v>
      </c>
      <c r="AM19">
        <v>10</v>
      </c>
      <c r="AN19">
        <v>30</v>
      </c>
      <c r="AP19">
        <v>0.33333333333333331</v>
      </c>
    </row>
    <row r="20" spans="1:42" x14ac:dyDescent="0.35">
      <c r="A20">
        <v>1019</v>
      </c>
      <c r="B20" s="1">
        <v>45696</v>
      </c>
      <c r="C20" s="8" t="s">
        <v>35</v>
      </c>
      <c r="D20" s="8" t="s">
        <v>17</v>
      </c>
      <c r="E20" s="8" t="s">
        <v>26</v>
      </c>
      <c r="F20" s="8" t="s">
        <v>33</v>
      </c>
      <c r="G20" s="8" t="s">
        <v>20</v>
      </c>
      <c r="H20">
        <v>5</v>
      </c>
      <c r="I20">
        <v>20000</v>
      </c>
      <c r="J20">
        <v>0.08</v>
      </c>
      <c r="K20">
        <v>92000</v>
      </c>
      <c r="L20">
        <v>75000</v>
      </c>
      <c r="M20">
        <v>17000</v>
      </c>
      <c r="N20" s="8" t="s">
        <v>21</v>
      </c>
      <c r="O20" s="8" t="s">
        <v>22</v>
      </c>
      <c r="P20" s="8" t="s">
        <v>147</v>
      </c>
      <c r="Q20" t="b">
        <v>0</v>
      </c>
      <c r="R20" t="b">
        <v>0</v>
      </c>
      <c r="S20" t="b">
        <v>0</v>
      </c>
      <c r="T20">
        <v>0.18478260869565216</v>
      </c>
      <c r="U20" s="8" t="s">
        <v>148</v>
      </c>
      <c r="V20" s="8" t="s">
        <v>149</v>
      </c>
      <c r="W20" s="8" t="s">
        <v>150</v>
      </c>
      <c r="X20" s="8" t="s">
        <v>151</v>
      </c>
      <c r="Y20" s="8" t="s">
        <v>152</v>
      </c>
      <c r="Z20" s="8" t="s">
        <v>148</v>
      </c>
      <c r="AA20">
        <v>5</v>
      </c>
      <c r="AB20" s="8" t="s">
        <v>20</v>
      </c>
      <c r="AC20" s="8" t="s">
        <v>153</v>
      </c>
      <c r="AD20">
        <v>2</v>
      </c>
      <c r="AE20" s="2">
        <v>46087</v>
      </c>
      <c r="AF20" s="2">
        <v>46087.668971874999</v>
      </c>
      <c r="AG20">
        <v>8</v>
      </c>
      <c r="AH20">
        <v>2</v>
      </c>
      <c r="AI20">
        <v>2025</v>
      </c>
      <c r="AJ20" s="8" t="s">
        <v>142</v>
      </c>
      <c r="AK20">
        <v>7</v>
      </c>
      <c r="AL20">
        <v>0.4375</v>
      </c>
      <c r="AM20">
        <v>10</v>
      </c>
      <c r="AN20">
        <v>30</v>
      </c>
      <c r="AP20">
        <v>0.18478260869565216</v>
      </c>
    </row>
    <row r="21" spans="1:42" x14ac:dyDescent="0.35">
      <c r="A21">
        <v>1020</v>
      </c>
      <c r="B21" s="1">
        <v>45705</v>
      </c>
      <c r="C21" s="8" t="s">
        <v>35</v>
      </c>
      <c r="D21" s="8" t="s">
        <v>25</v>
      </c>
      <c r="E21" s="8" t="s">
        <v>18</v>
      </c>
      <c r="F21" s="8" t="s">
        <v>36</v>
      </c>
      <c r="G21" s="8" t="s">
        <v>52</v>
      </c>
      <c r="H21">
        <v>18</v>
      </c>
      <c r="I21">
        <v>25000</v>
      </c>
      <c r="J21">
        <v>0</v>
      </c>
      <c r="K21">
        <v>450000</v>
      </c>
      <c r="L21">
        <v>324000</v>
      </c>
      <c r="M21">
        <v>126000</v>
      </c>
      <c r="N21" s="8" t="s">
        <v>21</v>
      </c>
      <c r="O21" s="8" t="s">
        <v>30</v>
      </c>
      <c r="P21" s="8" t="s">
        <v>161</v>
      </c>
      <c r="Q21" t="b">
        <v>0</v>
      </c>
      <c r="R21" t="b">
        <v>1</v>
      </c>
      <c r="S21" t="b">
        <v>0</v>
      </c>
      <c r="T21">
        <v>0.28000000000000003</v>
      </c>
      <c r="U21" s="8" t="s">
        <v>154</v>
      </c>
      <c r="V21" s="8" t="s">
        <v>155</v>
      </c>
      <c r="W21" s="8" t="s">
        <v>156</v>
      </c>
      <c r="X21" s="8" t="s">
        <v>157</v>
      </c>
      <c r="Y21" s="8" t="s">
        <v>158</v>
      </c>
      <c r="Z21" s="8" t="s">
        <v>159</v>
      </c>
      <c r="AA21">
        <v>4</v>
      </c>
      <c r="AB21" s="8" t="s">
        <v>52</v>
      </c>
      <c r="AC21" s="8" t="s">
        <v>160</v>
      </c>
      <c r="AD21">
        <v>3</v>
      </c>
      <c r="AE21" s="2">
        <v>46087</v>
      </c>
      <c r="AF21" s="2">
        <v>46087.668971874999</v>
      </c>
      <c r="AG21">
        <v>17</v>
      </c>
      <c r="AH21">
        <v>2</v>
      </c>
      <c r="AI21">
        <v>2025</v>
      </c>
      <c r="AJ21" s="8" t="s">
        <v>141</v>
      </c>
      <c r="AK21">
        <v>2</v>
      </c>
      <c r="AL21">
        <v>0.4375</v>
      </c>
      <c r="AM21">
        <v>10</v>
      </c>
      <c r="AN21">
        <v>30</v>
      </c>
      <c r="AP21">
        <v>0.28000000000000003</v>
      </c>
    </row>
    <row r="22" spans="1:42" x14ac:dyDescent="0.35">
      <c r="A22">
        <v>1021</v>
      </c>
      <c r="B22" s="1">
        <v>45717</v>
      </c>
      <c r="C22" s="8" t="s">
        <v>35</v>
      </c>
      <c r="D22" s="8" t="s">
        <v>25</v>
      </c>
      <c r="E22" s="8" t="s">
        <v>46</v>
      </c>
      <c r="F22" s="8" t="s">
        <v>49</v>
      </c>
      <c r="G22" s="8" t="s">
        <v>20</v>
      </c>
      <c r="H22">
        <v>7</v>
      </c>
      <c r="I22">
        <v>500</v>
      </c>
      <c r="J22">
        <v>0.05</v>
      </c>
      <c r="K22">
        <v>3325</v>
      </c>
      <c r="L22">
        <v>2450</v>
      </c>
      <c r="M22">
        <v>875</v>
      </c>
      <c r="N22" s="8" t="s">
        <v>29</v>
      </c>
      <c r="O22" s="8" t="s">
        <v>40</v>
      </c>
      <c r="P22" s="8" t="s">
        <v>147</v>
      </c>
      <c r="Q22" t="b">
        <v>0</v>
      </c>
      <c r="R22" t="b">
        <v>1</v>
      </c>
      <c r="S22" t="b">
        <v>0</v>
      </c>
      <c r="T22">
        <v>0.26315789473684209</v>
      </c>
      <c r="U22" s="8" t="s">
        <v>154</v>
      </c>
      <c r="V22" s="8" t="s">
        <v>155</v>
      </c>
      <c r="W22" s="8" t="s">
        <v>156</v>
      </c>
      <c r="X22" s="8" t="s">
        <v>157</v>
      </c>
      <c r="Y22" s="8" t="s">
        <v>158</v>
      </c>
      <c r="Z22" s="8" t="s">
        <v>159</v>
      </c>
      <c r="AA22">
        <v>4</v>
      </c>
      <c r="AB22" s="8" t="s">
        <v>20</v>
      </c>
      <c r="AC22" s="8" t="s">
        <v>160</v>
      </c>
      <c r="AD22">
        <v>3</v>
      </c>
      <c r="AE22" s="2">
        <v>46087</v>
      </c>
      <c r="AF22" s="2">
        <v>46087.668971874999</v>
      </c>
      <c r="AG22">
        <v>1</v>
      </c>
      <c r="AH22">
        <v>3</v>
      </c>
      <c r="AI22">
        <v>2025</v>
      </c>
      <c r="AJ22" s="8" t="s">
        <v>142</v>
      </c>
      <c r="AK22">
        <v>7</v>
      </c>
      <c r="AL22">
        <v>0.4375</v>
      </c>
      <c r="AM22">
        <v>10</v>
      </c>
      <c r="AN22">
        <v>30</v>
      </c>
      <c r="AP22">
        <v>0.26315789473684209</v>
      </c>
    </row>
    <row r="23" spans="1:42" x14ac:dyDescent="0.35">
      <c r="A23">
        <v>1022</v>
      </c>
      <c r="B23" s="1">
        <v>45711</v>
      </c>
      <c r="C23" s="8" t="s">
        <v>24</v>
      </c>
      <c r="D23" s="8" t="s">
        <v>42</v>
      </c>
      <c r="E23" s="8" t="s">
        <v>26</v>
      </c>
      <c r="F23" s="8" t="s">
        <v>59</v>
      </c>
      <c r="G23" s="8" t="s">
        <v>28</v>
      </c>
      <c r="H23">
        <v>5</v>
      </c>
      <c r="I23">
        <v>2000</v>
      </c>
      <c r="J23">
        <v>0.05</v>
      </c>
      <c r="K23">
        <v>9500</v>
      </c>
      <c r="L23">
        <v>7500</v>
      </c>
      <c r="M23">
        <v>2000</v>
      </c>
      <c r="N23" s="8" t="s">
        <v>29</v>
      </c>
      <c r="O23" s="8" t="s">
        <v>40</v>
      </c>
      <c r="P23" s="8" t="s">
        <v>147</v>
      </c>
      <c r="Q23" t="b">
        <v>0</v>
      </c>
      <c r="R23" t="b">
        <v>1</v>
      </c>
      <c r="S23" t="b">
        <v>0</v>
      </c>
      <c r="T23">
        <v>0.21052631578947367</v>
      </c>
      <c r="U23" s="8" t="s">
        <v>162</v>
      </c>
      <c r="V23" s="8" t="s">
        <v>163</v>
      </c>
      <c r="W23" s="8" t="s">
        <v>164</v>
      </c>
      <c r="X23" s="8" t="s">
        <v>165</v>
      </c>
      <c r="Y23" s="8" t="s">
        <v>166</v>
      </c>
      <c r="Z23" s="8" t="s">
        <v>162</v>
      </c>
      <c r="AA23">
        <v>5</v>
      </c>
      <c r="AB23" s="8" t="s">
        <v>28</v>
      </c>
      <c r="AC23" s="8" t="s">
        <v>167</v>
      </c>
      <c r="AD23">
        <v>2</v>
      </c>
      <c r="AE23" s="2">
        <v>46087</v>
      </c>
      <c r="AF23" s="2">
        <v>46087.668971874999</v>
      </c>
      <c r="AG23">
        <v>23</v>
      </c>
      <c r="AH23">
        <v>2</v>
      </c>
      <c r="AI23">
        <v>2025</v>
      </c>
      <c r="AJ23" s="8" t="s">
        <v>143</v>
      </c>
      <c r="AK23">
        <v>1</v>
      </c>
      <c r="AL23">
        <v>0.4375</v>
      </c>
      <c r="AM23">
        <v>10</v>
      </c>
      <c r="AN23">
        <v>30</v>
      </c>
      <c r="AP23">
        <v>0.21052631578947367</v>
      </c>
    </row>
    <row r="24" spans="1:42" x14ac:dyDescent="0.35">
      <c r="A24">
        <v>1023</v>
      </c>
      <c r="B24" s="1">
        <v>45706</v>
      </c>
      <c r="C24" s="8" t="s">
        <v>32</v>
      </c>
      <c r="D24" s="8" t="s">
        <v>25</v>
      </c>
      <c r="E24" s="8" t="s">
        <v>18</v>
      </c>
      <c r="F24" s="8" t="s">
        <v>19</v>
      </c>
      <c r="G24" s="8" t="s">
        <v>28</v>
      </c>
      <c r="H24">
        <v>4</v>
      </c>
      <c r="I24">
        <v>3000</v>
      </c>
      <c r="J24">
        <v>0.08</v>
      </c>
      <c r="K24">
        <v>11040</v>
      </c>
      <c r="L24">
        <v>8000</v>
      </c>
      <c r="M24">
        <v>3040</v>
      </c>
      <c r="N24" s="8" t="s">
        <v>44</v>
      </c>
      <c r="O24" s="8" t="s">
        <v>22</v>
      </c>
      <c r="P24" s="8" t="s">
        <v>147</v>
      </c>
      <c r="Q24" t="b">
        <v>0</v>
      </c>
      <c r="R24" t="b">
        <v>0</v>
      </c>
      <c r="S24" t="b">
        <v>0</v>
      </c>
      <c r="T24">
        <v>0.27536231884057971</v>
      </c>
      <c r="U24" s="8" t="s">
        <v>154</v>
      </c>
      <c r="V24" s="8" t="s">
        <v>155</v>
      </c>
      <c r="W24" s="8" t="s">
        <v>156</v>
      </c>
      <c r="X24" s="8" t="s">
        <v>157</v>
      </c>
      <c r="Y24" s="8" t="s">
        <v>158</v>
      </c>
      <c r="Z24" s="8" t="s">
        <v>159</v>
      </c>
      <c r="AA24">
        <v>4</v>
      </c>
      <c r="AB24" s="8" t="s">
        <v>28</v>
      </c>
      <c r="AC24" s="8" t="s">
        <v>160</v>
      </c>
      <c r="AD24">
        <v>3</v>
      </c>
      <c r="AE24" s="2">
        <v>46087</v>
      </c>
      <c r="AF24" s="2">
        <v>46087.668971874999</v>
      </c>
      <c r="AG24">
        <v>18</v>
      </c>
      <c r="AH24">
        <v>2</v>
      </c>
      <c r="AI24">
        <v>2025</v>
      </c>
      <c r="AJ24" s="8" t="s">
        <v>145</v>
      </c>
      <c r="AK24">
        <v>3</v>
      </c>
      <c r="AL24">
        <v>0.4375</v>
      </c>
      <c r="AM24">
        <v>10</v>
      </c>
      <c r="AN24">
        <v>30</v>
      </c>
      <c r="AP24">
        <v>0.27536231884057971</v>
      </c>
    </row>
    <row r="25" spans="1:42" x14ac:dyDescent="0.35">
      <c r="A25">
        <v>1024</v>
      </c>
      <c r="B25" s="1">
        <v>45673</v>
      </c>
      <c r="C25" s="8" t="s">
        <v>32</v>
      </c>
      <c r="D25" s="8" t="s">
        <v>25</v>
      </c>
      <c r="E25" s="8" t="s">
        <v>18</v>
      </c>
      <c r="F25" s="8" t="s">
        <v>38</v>
      </c>
      <c r="G25" s="8" t="s">
        <v>20</v>
      </c>
      <c r="H25">
        <v>4</v>
      </c>
      <c r="I25">
        <v>35000</v>
      </c>
      <c r="J25">
        <v>0</v>
      </c>
      <c r="K25">
        <v>140000</v>
      </c>
      <c r="L25">
        <v>100000</v>
      </c>
      <c r="M25">
        <v>40000</v>
      </c>
      <c r="N25" s="8" t="s">
        <v>39</v>
      </c>
      <c r="O25" s="8" t="s">
        <v>22</v>
      </c>
      <c r="P25" s="8" t="s">
        <v>147</v>
      </c>
      <c r="Q25" t="b">
        <v>0</v>
      </c>
      <c r="R25" t="b">
        <v>0</v>
      </c>
      <c r="S25" t="b">
        <v>0</v>
      </c>
      <c r="T25">
        <v>0.2857142857142857</v>
      </c>
      <c r="U25" s="8" t="s">
        <v>154</v>
      </c>
      <c r="V25" s="8" t="s">
        <v>155</v>
      </c>
      <c r="W25" s="8" t="s">
        <v>156</v>
      </c>
      <c r="X25" s="8" t="s">
        <v>157</v>
      </c>
      <c r="Y25" s="8" t="s">
        <v>158</v>
      </c>
      <c r="Z25" s="8" t="s">
        <v>159</v>
      </c>
      <c r="AA25">
        <v>4</v>
      </c>
      <c r="AB25" s="8" t="s">
        <v>20</v>
      </c>
      <c r="AC25" s="8" t="s">
        <v>160</v>
      </c>
      <c r="AD25">
        <v>3</v>
      </c>
      <c r="AE25" s="2">
        <v>46087</v>
      </c>
      <c r="AF25" s="2">
        <v>46087.668971874999</v>
      </c>
      <c r="AG25">
        <v>16</v>
      </c>
      <c r="AH25">
        <v>1</v>
      </c>
      <c r="AI25">
        <v>2025</v>
      </c>
      <c r="AJ25" s="8" t="s">
        <v>144</v>
      </c>
      <c r="AK25">
        <v>5</v>
      </c>
      <c r="AL25">
        <v>0.4375</v>
      </c>
      <c r="AM25">
        <v>10</v>
      </c>
      <c r="AN25">
        <v>30</v>
      </c>
      <c r="AP25">
        <v>0.2857142857142857</v>
      </c>
    </row>
    <row r="26" spans="1:42" x14ac:dyDescent="0.35">
      <c r="A26">
        <v>1025</v>
      </c>
      <c r="B26" s="1">
        <v>45658</v>
      </c>
      <c r="C26" s="8" t="s">
        <v>32</v>
      </c>
      <c r="D26" s="8" t="s">
        <v>17</v>
      </c>
      <c r="E26" s="8" t="s">
        <v>26</v>
      </c>
      <c r="F26" s="8" t="s">
        <v>59</v>
      </c>
      <c r="G26" s="8" t="s">
        <v>20</v>
      </c>
      <c r="H26">
        <v>19</v>
      </c>
      <c r="I26">
        <v>2000</v>
      </c>
      <c r="J26">
        <v>0.15</v>
      </c>
      <c r="K26">
        <v>32300</v>
      </c>
      <c r="L26">
        <v>28500</v>
      </c>
      <c r="M26">
        <v>3800</v>
      </c>
      <c r="N26" s="8" t="s">
        <v>44</v>
      </c>
      <c r="O26" s="8" t="s">
        <v>22</v>
      </c>
      <c r="P26" s="8" t="s">
        <v>147</v>
      </c>
      <c r="Q26" t="b">
        <v>0</v>
      </c>
      <c r="R26" t="b">
        <v>0</v>
      </c>
      <c r="S26" t="b">
        <v>0</v>
      </c>
      <c r="T26">
        <v>0.11764705882352941</v>
      </c>
      <c r="U26" s="8" t="s">
        <v>148</v>
      </c>
      <c r="V26" s="8" t="s">
        <v>149</v>
      </c>
      <c r="W26" s="8" t="s">
        <v>150</v>
      </c>
      <c r="X26" s="8" t="s">
        <v>151</v>
      </c>
      <c r="Y26" s="8" t="s">
        <v>152</v>
      </c>
      <c r="Z26" s="8" t="s">
        <v>148</v>
      </c>
      <c r="AA26">
        <v>5</v>
      </c>
      <c r="AB26" s="8" t="s">
        <v>20</v>
      </c>
      <c r="AC26" s="8" t="s">
        <v>153</v>
      </c>
      <c r="AD26">
        <v>2</v>
      </c>
      <c r="AE26" s="2">
        <v>46087</v>
      </c>
      <c r="AF26" s="2">
        <v>46087.668971874999</v>
      </c>
      <c r="AG26">
        <v>1</v>
      </c>
      <c r="AH26">
        <v>1</v>
      </c>
      <c r="AI26">
        <v>2025</v>
      </c>
      <c r="AJ26" s="8" t="s">
        <v>146</v>
      </c>
      <c r="AK26">
        <v>4</v>
      </c>
      <c r="AL26">
        <v>0.4375</v>
      </c>
      <c r="AM26">
        <v>10</v>
      </c>
      <c r="AN26">
        <v>30</v>
      </c>
      <c r="AP26">
        <v>0.11764705882352941</v>
      </c>
    </row>
    <row r="27" spans="1:42" x14ac:dyDescent="0.35">
      <c r="A27">
        <v>1026</v>
      </c>
      <c r="B27" s="1">
        <v>45661</v>
      </c>
      <c r="C27" s="8" t="s">
        <v>35</v>
      </c>
      <c r="D27" s="8" t="s">
        <v>25</v>
      </c>
      <c r="E27" s="8" t="s">
        <v>46</v>
      </c>
      <c r="F27" s="8" t="s">
        <v>49</v>
      </c>
      <c r="G27" s="8" t="s">
        <v>20</v>
      </c>
      <c r="H27">
        <v>17</v>
      </c>
      <c r="I27">
        <v>500</v>
      </c>
      <c r="J27">
        <v>0.05</v>
      </c>
      <c r="K27">
        <v>8075</v>
      </c>
      <c r="L27">
        <v>5950</v>
      </c>
      <c r="M27">
        <v>2125</v>
      </c>
      <c r="N27" s="8" t="s">
        <v>21</v>
      </c>
      <c r="O27" s="8" t="s">
        <v>40</v>
      </c>
      <c r="P27" s="8" t="s">
        <v>147</v>
      </c>
      <c r="Q27" t="b">
        <v>0</v>
      </c>
      <c r="R27" t="b">
        <v>0</v>
      </c>
      <c r="S27" t="b">
        <v>0</v>
      </c>
      <c r="T27">
        <v>0.26315789473684209</v>
      </c>
      <c r="U27" s="8" t="s">
        <v>154</v>
      </c>
      <c r="V27" s="8" t="s">
        <v>155</v>
      </c>
      <c r="W27" s="8" t="s">
        <v>156</v>
      </c>
      <c r="X27" s="8" t="s">
        <v>157</v>
      </c>
      <c r="Y27" s="8" t="s">
        <v>158</v>
      </c>
      <c r="Z27" s="8" t="s">
        <v>159</v>
      </c>
      <c r="AA27">
        <v>4</v>
      </c>
      <c r="AB27" s="8" t="s">
        <v>20</v>
      </c>
      <c r="AC27" s="8" t="s">
        <v>160</v>
      </c>
      <c r="AD27">
        <v>3</v>
      </c>
      <c r="AE27" s="2">
        <v>46087</v>
      </c>
      <c r="AF27" s="2">
        <v>46087.668971874999</v>
      </c>
      <c r="AG27">
        <v>4</v>
      </c>
      <c r="AH27">
        <v>1</v>
      </c>
      <c r="AI27">
        <v>2025</v>
      </c>
      <c r="AJ27" s="8" t="s">
        <v>142</v>
      </c>
      <c r="AK27">
        <v>7</v>
      </c>
      <c r="AL27">
        <v>0.4375</v>
      </c>
      <c r="AM27">
        <v>10</v>
      </c>
      <c r="AN27">
        <v>30</v>
      </c>
      <c r="AP27">
        <v>0.26315789473684209</v>
      </c>
    </row>
    <row r="28" spans="1:42" x14ac:dyDescent="0.35">
      <c r="A28">
        <v>1027</v>
      </c>
      <c r="B28" s="1">
        <v>45690</v>
      </c>
      <c r="C28" s="8" t="s">
        <v>16</v>
      </c>
      <c r="D28" s="8" t="s">
        <v>17</v>
      </c>
      <c r="E28" s="8" t="s">
        <v>26</v>
      </c>
      <c r="F28" s="8" t="s">
        <v>33</v>
      </c>
      <c r="G28" s="8" t="s">
        <v>20</v>
      </c>
      <c r="H28">
        <v>16</v>
      </c>
      <c r="I28">
        <v>20000</v>
      </c>
      <c r="J28">
        <v>0.02</v>
      </c>
      <c r="K28">
        <v>313600</v>
      </c>
      <c r="L28">
        <v>240000</v>
      </c>
      <c r="M28">
        <v>73600</v>
      </c>
      <c r="N28" s="8" t="s">
        <v>29</v>
      </c>
      <c r="O28" s="8" t="s">
        <v>40</v>
      </c>
      <c r="P28" s="8" t="s">
        <v>147</v>
      </c>
      <c r="Q28" t="b">
        <v>1</v>
      </c>
      <c r="R28" t="b">
        <v>1</v>
      </c>
      <c r="S28" t="b">
        <v>0</v>
      </c>
      <c r="T28">
        <v>0.23469387755102042</v>
      </c>
      <c r="U28" s="8" t="s">
        <v>148</v>
      </c>
      <c r="V28" s="8" t="s">
        <v>149</v>
      </c>
      <c r="W28" s="8" t="s">
        <v>150</v>
      </c>
      <c r="X28" s="8" t="s">
        <v>151</v>
      </c>
      <c r="Y28" s="8" t="s">
        <v>152</v>
      </c>
      <c r="Z28" s="8" t="s">
        <v>148</v>
      </c>
      <c r="AA28">
        <v>5</v>
      </c>
      <c r="AB28" s="8" t="s">
        <v>20</v>
      </c>
      <c r="AC28" s="8" t="s">
        <v>153</v>
      </c>
      <c r="AD28">
        <v>2</v>
      </c>
      <c r="AE28" s="2">
        <v>46087</v>
      </c>
      <c r="AF28" s="2">
        <v>46087.668971874999</v>
      </c>
      <c r="AG28">
        <v>2</v>
      </c>
      <c r="AH28">
        <v>2</v>
      </c>
      <c r="AI28">
        <v>2025</v>
      </c>
      <c r="AJ28" s="8" t="s">
        <v>143</v>
      </c>
      <c r="AK28">
        <v>1</v>
      </c>
      <c r="AL28">
        <v>0.4375</v>
      </c>
      <c r="AM28">
        <v>10</v>
      </c>
      <c r="AN28">
        <v>30</v>
      </c>
      <c r="AP28">
        <v>0.23469387755102042</v>
      </c>
    </row>
    <row r="29" spans="1:42" x14ac:dyDescent="0.35">
      <c r="A29">
        <v>1028</v>
      </c>
      <c r="B29" s="1">
        <v>45672</v>
      </c>
      <c r="C29" s="8" t="s">
        <v>16</v>
      </c>
      <c r="D29" s="8" t="s">
        <v>54</v>
      </c>
      <c r="E29" s="8" t="s">
        <v>18</v>
      </c>
      <c r="F29" s="8" t="s">
        <v>36</v>
      </c>
      <c r="G29" s="8" t="s">
        <v>20</v>
      </c>
      <c r="H29">
        <v>9</v>
      </c>
      <c r="I29">
        <v>25000</v>
      </c>
      <c r="J29">
        <v>0.15</v>
      </c>
      <c r="K29">
        <v>191250</v>
      </c>
      <c r="L29">
        <v>162000</v>
      </c>
      <c r="M29">
        <v>29250</v>
      </c>
      <c r="N29" s="8" t="s">
        <v>29</v>
      </c>
      <c r="O29" s="8" t="s">
        <v>40</v>
      </c>
      <c r="P29" s="8" t="s">
        <v>147</v>
      </c>
      <c r="Q29" t="b">
        <v>0</v>
      </c>
      <c r="R29" t="b">
        <v>1</v>
      </c>
      <c r="S29" t="b">
        <v>0</v>
      </c>
      <c r="T29">
        <v>0.15294117647058825</v>
      </c>
      <c r="U29" s="8" t="s">
        <v>168</v>
      </c>
      <c r="V29" s="8" t="s">
        <v>169</v>
      </c>
      <c r="W29" s="8" t="s">
        <v>170</v>
      </c>
      <c r="X29" s="8" t="s">
        <v>171</v>
      </c>
      <c r="Y29" s="8" t="s">
        <v>172</v>
      </c>
      <c r="Z29" s="8" t="s">
        <v>168</v>
      </c>
      <c r="AA29">
        <v>5</v>
      </c>
      <c r="AB29" s="8" t="s">
        <v>20</v>
      </c>
      <c r="AC29" s="8" t="s">
        <v>173</v>
      </c>
      <c r="AD29">
        <v>2</v>
      </c>
      <c r="AE29" s="2">
        <v>46087</v>
      </c>
      <c r="AF29" s="2">
        <v>46087.668971874999</v>
      </c>
      <c r="AG29">
        <v>15</v>
      </c>
      <c r="AH29">
        <v>1</v>
      </c>
      <c r="AI29">
        <v>2025</v>
      </c>
      <c r="AJ29" s="8" t="s">
        <v>146</v>
      </c>
      <c r="AK29">
        <v>4</v>
      </c>
      <c r="AL29">
        <v>0.4375</v>
      </c>
      <c r="AM29">
        <v>10</v>
      </c>
      <c r="AN29">
        <v>30</v>
      </c>
      <c r="AP29">
        <v>0.15294117647058825</v>
      </c>
    </row>
    <row r="30" spans="1:42" x14ac:dyDescent="0.35">
      <c r="A30">
        <v>1029</v>
      </c>
      <c r="B30" s="1">
        <v>45692</v>
      </c>
      <c r="C30" s="8" t="s">
        <v>16</v>
      </c>
      <c r="D30" s="8" t="s">
        <v>42</v>
      </c>
      <c r="E30" s="8" t="s">
        <v>18</v>
      </c>
      <c r="F30" s="8" t="s">
        <v>43</v>
      </c>
      <c r="G30" s="8" t="s">
        <v>28</v>
      </c>
      <c r="H30">
        <v>20</v>
      </c>
      <c r="I30">
        <v>12000</v>
      </c>
      <c r="J30">
        <v>0.15</v>
      </c>
      <c r="K30">
        <v>204000</v>
      </c>
      <c r="L30">
        <v>160000</v>
      </c>
      <c r="M30">
        <v>44000</v>
      </c>
      <c r="N30" s="8" t="s">
        <v>21</v>
      </c>
      <c r="O30" s="8" t="s">
        <v>30</v>
      </c>
      <c r="P30" s="8" t="s">
        <v>147</v>
      </c>
      <c r="Q30" t="b">
        <v>0</v>
      </c>
      <c r="R30" t="b">
        <v>0</v>
      </c>
      <c r="S30" t="b">
        <v>0</v>
      </c>
      <c r="T30">
        <v>0.21568627450980393</v>
      </c>
      <c r="U30" s="8" t="s">
        <v>162</v>
      </c>
      <c r="V30" s="8" t="s">
        <v>163</v>
      </c>
      <c r="W30" s="8" t="s">
        <v>164</v>
      </c>
      <c r="X30" s="8" t="s">
        <v>165</v>
      </c>
      <c r="Y30" s="8" t="s">
        <v>166</v>
      </c>
      <c r="Z30" s="8" t="s">
        <v>162</v>
      </c>
      <c r="AA30">
        <v>5</v>
      </c>
      <c r="AB30" s="8" t="s">
        <v>28</v>
      </c>
      <c r="AC30" s="8" t="s">
        <v>167</v>
      </c>
      <c r="AD30">
        <v>2</v>
      </c>
      <c r="AE30" s="2">
        <v>46087</v>
      </c>
      <c r="AF30" s="2">
        <v>46087.668971874999</v>
      </c>
      <c r="AG30">
        <v>4</v>
      </c>
      <c r="AH30">
        <v>2</v>
      </c>
      <c r="AI30">
        <v>2025</v>
      </c>
      <c r="AJ30" s="8" t="s">
        <v>145</v>
      </c>
      <c r="AK30">
        <v>3</v>
      </c>
      <c r="AL30">
        <v>0.4375</v>
      </c>
      <c r="AM30">
        <v>10</v>
      </c>
      <c r="AN30">
        <v>30</v>
      </c>
      <c r="AP30">
        <v>0.21568627450980393</v>
      </c>
    </row>
    <row r="31" spans="1:42" x14ac:dyDescent="0.35">
      <c r="A31">
        <v>1030</v>
      </c>
      <c r="B31" s="1">
        <v>45685</v>
      </c>
      <c r="C31" s="8" t="s">
        <v>35</v>
      </c>
      <c r="D31" s="8" t="s">
        <v>54</v>
      </c>
      <c r="E31" s="8" t="s">
        <v>26</v>
      </c>
      <c r="F31" s="8" t="s">
        <v>27</v>
      </c>
      <c r="G31" s="8" t="s">
        <v>20</v>
      </c>
      <c r="H31">
        <v>13</v>
      </c>
      <c r="I31">
        <v>15000</v>
      </c>
      <c r="J31">
        <v>0.1</v>
      </c>
      <c r="K31">
        <v>175500</v>
      </c>
      <c r="L31">
        <v>156000</v>
      </c>
      <c r="M31">
        <v>19500</v>
      </c>
      <c r="N31" s="8" t="s">
        <v>21</v>
      </c>
      <c r="O31" s="8" t="s">
        <v>30</v>
      </c>
      <c r="P31" s="8" t="s">
        <v>147</v>
      </c>
      <c r="Q31" t="b">
        <v>0</v>
      </c>
      <c r="R31" t="b">
        <v>0</v>
      </c>
      <c r="S31" t="b">
        <v>0</v>
      </c>
      <c r="T31">
        <v>0.1111111111111111</v>
      </c>
      <c r="U31" s="8" t="s">
        <v>168</v>
      </c>
      <c r="V31" s="8" t="s">
        <v>169</v>
      </c>
      <c r="W31" s="8" t="s">
        <v>170</v>
      </c>
      <c r="X31" s="8" t="s">
        <v>171</v>
      </c>
      <c r="Y31" s="8" t="s">
        <v>172</v>
      </c>
      <c r="Z31" s="8" t="s">
        <v>168</v>
      </c>
      <c r="AA31">
        <v>5</v>
      </c>
      <c r="AB31" s="8" t="s">
        <v>20</v>
      </c>
      <c r="AC31" s="8" t="s">
        <v>173</v>
      </c>
      <c r="AD31">
        <v>2</v>
      </c>
      <c r="AE31" s="2">
        <v>46087</v>
      </c>
      <c r="AF31" s="2">
        <v>46087.668971874999</v>
      </c>
      <c r="AG31">
        <v>28</v>
      </c>
      <c r="AH31">
        <v>1</v>
      </c>
      <c r="AI31">
        <v>2025</v>
      </c>
      <c r="AJ31" s="8" t="s">
        <v>145</v>
      </c>
      <c r="AK31">
        <v>3</v>
      </c>
      <c r="AL31">
        <v>0.4375</v>
      </c>
      <c r="AM31">
        <v>10</v>
      </c>
      <c r="AN31">
        <v>30</v>
      </c>
      <c r="AP31">
        <v>0.1111111111111111</v>
      </c>
    </row>
    <row r="32" spans="1:42" x14ac:dyDescent="0.35">
      <c r="A32">
        <v>1031</v>
      </c>
      <c r="B32" s="1">
        <v>45694</v>
      </c>
      <c r="C32" s="8" t="s">
        <v>32</v>
      </c>
      <c r="D32" s="8" t="s">
        <v>42</v>
      </c>
      <c r="E32" s="8" t="s">
        <v>26</v>
      </c>
      <c r="F32" s="8" t="s">
        <v>59</v>
      </c>
      <c r="G32" s="8" t="s">
        <v>28</v>
      </c>
      <c r="H32">
        <v>14</v>
      </c>
      <c r="I32">
        <v>2000</v>
      </c>
      <c r="J32">
        <v>0.08</v>
      </c>
      <c r="K32">
        <v>25760</v>
      </c>
      <c r="L32">
        <v>21000</v>
      </c>
      <c r="M32">
        <v>4760</v>
      </c>
      <c r="N32" s="8" t="s">
        <v>39</v>
      </c>
      <c r="O32" s="8" t="s">
        <v>22</v>
      </c>
      <c r="P32" s="8" t="s">
        <v>147</v>
      </c>
      <c r="Q32" t="b">
        <v>0</v>
      </c>
      <c r="R32" t="b">
        <v>0</v>
      </c>
      <c r="S32" t="b">
        <v>0</v>
      </c>
      <c r="T32">
        <v>0.18478260869565216</v>
      </c>
      <c r="U32" s="8" t="s">
        <v>162</v>
      </c>
      <c r="V32" s="8" t="s">
        <v>163</v>
      </c>
      <c r="W32" s="8" t="s">
        <v>164</v>
      </c>
      <c r="X32" s="8" t="s">
        <v>165</v>
      </c>
      <c r="Y32" s="8" t="s">
        <v>166</v>
      </c>
      <c r="Z32" s="8" t="s">
        <v>162</v>
      </c>
      <c r="AA32">
        <v>5</v>
      </c>
      <c r="AB32" s="8" t="s">
        <v>28</v>
      </c>
      <c r="AC32" s="8" t="s">
        <v>167</v>
      </c>
      <c r="AD32">
        <v>2</v>
      </c>
      <c r="AE32" s="2">
        <v>46087</v>
      </c>
      <c r="AF32" s="2">
        <v>46087.668971874999</v>
      </c>
      <c r="AG32">
        <v>6</v>
      </c>
      <c r="AH32">
        <v>2</v>
      </c>
      <c r="AI32">
        <v>2025</v>
      </c>
      <c r="AJ32" s="8" t="s">
        <v>144</v>
      </c>
      <c r="AK32">
        <v>5</v>
      </c>
      <c r="AL32">
        <v>0.4375</v>
      </c>
      <c r="AM32">
        <v>10</v>
      </c>
      <c r="AN32">
        <v>30</v>
      </c>
      <c r="AP32">
        <v>0.18478260869565216</v>
      </c>
    </row>
    <row r="33" spans="1:42" x14ac:dyDescent="0.35">
      <c r="A33">
        <v>1032</v>
      </c>
      <c r="B33" s="1">
        <v>45702</v>
      </c>
      <c r="C33" s="8" t="s">
        <v>16</v>
      </c>
      <c r="D33" s="8" t="s">
        <v>54</v>
      </c>
      <c r="E33" s="8" t="s">
        <v>46</v>
      </c>
      <c r="F33" s="8" t="s">
        <v>72</v>
      </c>
      <c r="G33" s="8" t="s">
        <v>52</v>
      </c>
      <c r="H33">
        <v>14</v>
      </c>
      <c r="I33">
        <v>200</v>
      </c>
      <c r="J33">
        <v>0.05</v>
      </c>
      <c r="K33">
        <v>2660</v>
      </c>
      <c r="L33">
        <v>1680</v>
      </c>
      <c r="M33">
        <v>980</v>
      </c>
      <c r="N33" s="8" t="s">
        <v>44</v>
      </c>
      <c r="O33" s="8" t="s">
        <v>40</v>
      </c>
      <c r="P33" s="8" t="s">
        <v>147</v>
      </c>
      <c r="Q33" t="b">
        <v>0</v>
      </c>
      <c r="R33" t="b">
        <v>0</v>
      </c>
      <c r="S33" t="b">
        <v>0</v>
      </c>
      <c r="T33">
        <v>0.36842105263157893</v>
      </c>
      <c r="U33" s="8" t="s">
        <v>168</v>
      </c>
      <c r="V33" s="8" t="s">
        <v>169</v>
      </c>
      <c r="W33" s="8" t="s">
        <v>170</v>
      </c>
      <c r="X33" s="8" t="s">
        <v>171</v>
      </c>
      <c r="Y33" s="8" t="s">
        <v>172</v>
      </c>
      <c r="Z33" s="8" t="s">
        <v>168</v>
      </c>
      <c r="AA33">
        <v>5</v>
      </c>
      <c r="AB33" s="8" t="s">
        <v>52</v>
      </c>
      <c r="AC33" s="8" t="s">
        <v>173</v>
      </c>
      <c r="AD33">
        <v>2</v>
      </c>
      <c r="AE33" s="2">
        <v>46087</v>
      </c>
      <c r="AF33" s="2">
        <v>46087.668971874999</v>
      </c>
      <c r="AG33">
        <v>14</v>
      </c>
      <c r="AH33">
        <v>2</v>
      </c>
      <c r="AI33">
        <v>2025</v>
      </c>
      <c r="AJ33" s="8" t="s">
        <v>140</v>
      </c>
      <c r="AK33">
        <v>6</v>
      </c>
      <c r="AL33">
        <v>0.4375</v>
      </c>
      <c r="AM33">
        <v>10</v>
      </c>
      <c r="AN33">
        <v>30</v>
      </c>
      <c r="AP33">
        <v>0.36842105263157893</v>
      </c>
    </row>
    <row r="34" spans="1:42" x14ac:dyDescent="0.35">
      <c r="A34">
        <v>1033</v>
      </c>
      <c r="B34" s="1">
        <v>45703</v>
      </c>
      <c r="C34" s="8" t="s">
        <v>16</v>
      </c>
      <c r="D34" s="8" t="s">
        <v>17</v>
      </c>
      <c r="E34" s="8" t="s">
        <v>26</v>
      </c>
      <c r="F34" s="8" t="s">
        <v>50</v>
      </c>
      <c r="G34" s="8" t="s">
        <v>28</v>
      </c>
      <c r="H34">
        <v>1</v>
      </c>
      <c r="I34">
        <v>55000</v>
      </c>
      <c r="J34">
        <v>0</v>
      </c>
      <c r="K34">
        <v>55000</v>
      </c>
      <c r="L34">
        <v>50000</v>
      </c>
      <c r="M34">
        <v>5000</v>
      </c>
      <c r="N34" s="8" t="s">
        <v>21</v>
      </c>
      <c r="O34" s="8" t="s">
        <v>30</v>
      </c>
      <c r="P34" s="8" t="s">
        <v>147</v>
      </c>
      <c r="Q34" t="b">
        <v>0</v>
      </c>
      <c r="R34" t="b">
        <v>0</v>
      </c>
      <c r="S34" t="b">
        <v>0</v>
      </c>
      <c r="T34">
        <v>9.0909090909090912E-2</v>
      </c>
      <c r="U34" s="8" t="s">
        <v>148</v>
      </c>
      <c r="V34" s="8" t="s">
        <v>149</v>
      </c>
      <c r="W34" s="8" t="s">
        <v>150</v>
      </c>
      <c r="X34" s="8" t="s">
        <v>151</v>
      </c>
      <c r="Y34" s="8" t="s">
        <v>152</v>
      </c>
      <c r="Z34" s="8" t="s">
        <v>148</v>
      </c>
      <c r="AA34">
        <v>5</v>
      </c>
      <c r="AB34" s="8" t="s">
        <v>28</v>
      </c>
      <c r="AC34" s="8" t="s">
        <v>153</v>
      </c>
      <c r="AD34">
        <v>2</v>
      </c>
      <c r="AE34" s="2">
        <v>46087</v>
      </c>
      <c r="AF34" s="2">
        <v>46087.668971874999</v>
      </c>
      <c r="AG34">
        <v>15</v>
      </c>
      <c r="AH34">
        <v>2</v>
      </c>
      <c r="AI34">
        <v>2025</v>
      </c>
      <c r="AJ34" s="8" t="s">
        <v>142</v>
      </c>
      <c r="AK34">
        <v>7</v>
      </c>
      <c r="AL34">
        <v>0.4375</v>
      </c>
      <c r="AM34">
        <v>10</v>
      </c>
      <c r="AN34">
        <v>30</v>
      </c>
      <c r="AP34">
        <v>9.0909090909090912E-2</v>
      </c>
    </row>
    <row r="35" spans="1:42" x14ac:dyDescent="0.35">
      <c r="A35">
        <v>1034</v>
      </c>
      <c r="B35" s="1">
        <v>45684</v>
      </c>
      <c r="C35" s="8" t="s">
        <v>32</v>
      </c>
      <c r="D35" s="8" t="s">
        <v>54</v>
      </c>
      <c r="E35" s="8" t="s">
        <v>46</v>
      </c>
      <c r="F35" s="8" t="s">
        <v>49</v>
      </c>
      <c r="G35" s="8" t="s">
        <v>20</v>
      </c>
      <c r="H35">
        <v>1</v>
      </c>
      <c r="I35">
        <v>500</v>
      </c>
      <c r="J35">
        <v>0.02</v>
      </c>
      <c r="K35">
        <v>490</v>
      </c>
      <c r="L35">
        <v>350</v>
      </c>
      <c r="M35">
        <v>140</v>
      </c>
      <c r="N35" s="8" t="s">
        <v>44</v>
      </c>
      <c r="O35" s="8" t="s">
        <v>22</v>
      </c>
      <c r="P35" s="8" t="s">
        <v>147</v>
      </c>
      <c r="Q35" t="b">
        <v>0</v>
      </c>
      <c r="R35" t="b">
        <v>0</v>
      </c>
      <c r="S35" t="b">
        <v>1</v>
      </c>
      <c r="T35">
        <v>0.2857142857142857</v>
      </c>
      <c r="U35" s="8" t="s">
        <v>168</v>
      </c>
      <c r="V35" s="8" t="s">
        <v>169</v>
      </c>
      <c r="W35" s="8" t="s">
        <v>170</v>
      </c>
      <c r="X35" s="8" t="s">
        <v>171</v>
      </c>
      <c r="Y35" s="8" t="s">
        <v>172</v>
      </c>
      <c r="Z35" s="8" t="s">
        <v>168</v>
      </c>
      <c r="AA35">
        <v>5</v>
      </c>
      <c r="AB35" s="8" t="s">
        <v>20</v>
      </c>
      <c r="AC35" s="8" t="s">
        <v>173</v>
      </c>
      <c r="AD35">
        <v>2</v>
      </c>
      <c r="AE35" s="2">
        <v>46087</v>
      </c>
      <c r="AF35" s="2">
        <v>46087.668971874999</v>
      </c>
      <c r="AG35">
        <v>27</v>
      </c>
      <c r="AH35">
        <v>1</v>
      </c>
      <c r="AI35">
        <v>2025</v>
      </c>
      <c r="AJ35" s="8" t="s">
        <v>141</v>
      </c>
      <c r="AK35">
        <v>2</v>
      </c>
      <c r="AL35">
        <v>0.4375</v>
      </c>
      <c r="AM35">
        <v>10</v>
      </c>
      <c r="AN35">
        <v>30</v>
      </c>
      <c r="AP35">
        <v>0.2857142857142857</v>
      </c>
    </row>
    <row r="36" spans="1:42" x14ac:dyDescent="0.35">
      <c r="A36">
        <v>1035</v>
      </c>
      <c r="B36" s="1">
        <v>45680</v>
      </c>
      <c r="C36" s="8" t="s">
        <v>16</v>
      </c>
      <c r="D36" s="8" t="s">
        <v>42</v>
      </c>
      <c r="E36" s="8" t="s">
        <v>46</v>
      </c>
      <c r="F36" s="8" t="s">
        <v>49</v>
      </c>
      <c r="G36" s="8" t="s">
        <v>52</v>
      </c>
      <c r="H36">
        <v>12</v>
      </c>
      <c r="I36">
        <v>500</v>
      </c>
      <c r="J36">
        <v>0.08</v>
      </c>
      <c r="K36">
        <v>5520</v>
      </c>
      <c r="L36">
        <v>4200</v>
      </c>
      <c r="M36">
        <v>1320</v>
      </c>
      <c r="N36" s="8" t="s">
        <v>39</v>
      </c>
      <c r="O36" s="8" t="s">
        <v>40</v>
      </c>
      <c r="P36" s="8" t="s">
        <v>147</v>
      </c>
      <c r="Q36" t="b">
        <v>0</v>
      </c>
      <c r="R36" t="b">
        <v>0</v>
      </c>
      <c r="S36" t="b">
        <v>0</v>
      </c>
      <c r="T36">
        <v>0.2391304347826087</v>
      </c>
      <c r="U36" s="8" t="s">
        <v>162</v>
      </c>
      <c r="V36" s="8" t="s">
        <v>163</v>
      </c>
      <c r="W36" s="8" t="s">
        <v>164</v>
      </c>
      <c r="X36" s="8" t="s">
        <v>165</v>
      </c>
      <c r="Y36" s="8" t="s">
        <v>166</v>
      </c>
      <c r="Z36" s="8" t="s">
        <v>162</v>
      </c>
      <c r="AA36">
        <v>5</v>
      </c>
      <c r="AB36" s="8" t="s">
        <v>52</v>
      </c>
      <c r="AC36" s="8" t="s">
        <v>167</v>
      </c>
      <c r="AD36">
        <v>2</v>
      </c>
      <c r="AE36" s="2">
        <v>46087</v>
      </c>
      <c r="AF36" s="2">
        <v>46087.668971874999</v>
      </c>
      <c r="AG36">
        <v>23</v>
      </c>
      <c r="AH36">
        <v>1</v>
      </c>
      <c r="AI36">
        <v>2025</v>
      </c>
      <c r="AJ36" s="8" t="s">
        <v>144</v>
      </c>
      <c r="AK36">
        <v>5</v>
      </c>
      <c r="AL36">
        <v>0.4375</v>
      </c>
      <c r="AM36">
        <v>10</v>
      </c>
      <c r="AN36">
        <v>30</v>
      </c>
      <c r="AP36">
        <v>0.2391304347826087</v>
      </c>
    </row>
    <row r="37" spans="1:42" x14ac:dyDescent="0.35">
      <c r="A37">
        <v>1036</v>
      </c>
      <c r="B37" s="1">
        <v>45688</v>
      </c>
      <c r="C37" s="8" t="s">
        <v>16</v>
      </c>
      <c r="D37" s="8" t="s">
        <v>54</v>
      </c>
      <c r="E37" s="8" t="s">
        <v>18</v>
      </c>
      <c r="F37" s="8" t="s">
        <v>19</v>
      </c>
      <c r="G37" s="8" t="s">
        <v>28</v>
      </c>
      <c r="H37">
        <v>8</v>
      </c>
      <c r="I37">
        <v>3000</v>
      </c>
      <c r="J37">
        <v>0</v>
      </c>
      <c r="K37">
        <v>24000</v>
      </c>
      <c r="L37">
        <v>16000</v>
      </c>
      <c r="M37">
        <v>8000</v>
      </c>
      <c r="N37" s="8" t="s">
        <v>39</v>
      </c>
      <c r="O37" s="8" t="s">
        <v>30</v>
      </c>
      <c r="P37" s="8" t="s">
        <v>147</v>
      </c>
      <c r="Q37" t="b">
        <v>0</v>
      </c>
      <c r="R37" t="b">
        <v>0</v>
      </c>
      <c r="S37" t="b">
        <v>0</v>
      </c>
      <c r="T37">
        <v>0.33333333333333331</v>
      </c>
      <c r="U37" s="8" t="s">
        <v>168</v>
      </c>
      <c r="V37" s="8" t="s">
        <v>169</v>
      </c>
      <c r="W37" s="8" t="s">
        <v>170</v>
      </c>
      <c r="X37" s="8" t="s">
        <v>171</v>
      </c>
      <c r="Y37" s="8" t="s">
        <v>172</v>
      </c>
      <c r="Z37" s="8" t="s">
        <v>168</v>
      </c>
      <c r="AA37">
        <v>5</v>
      </c>
      <c r="AB37" s="8" t="s">
        <v>28</v>
      </c>
      <c r="AC37" s="8" t="s">
        <v>173</v>
      </c>
      <c r="AD37">
        <v>2</v>
      </c>
      <c r="AE37" s="2">
        <v>46087</v>
      </c>
      <c r="AF37" s="2">
        <v>46087.668971874999</v>
      </c>
      <c r="AG37">
        <v>31</v>
      </c>
      <c r="AH37">
        <v>1</v>
      </c>
      <c r="AI37">
        <v>2025</v>
      </c>
      <c r="AJ37" s="8" t="s">
        <v>140</v>
      </c>
      <c r="AK37">
        <v>6</v>
      </c>
      <c r="AL37">
        <v>0.4375</v>
      </c>
      <c r="AM37">
        <v>10</v>
      </c>
      <c r="AN37">
        <v>30</v>
      </c>
      <c r="AP37">
        <v>0.33333333333333331</v>
      </c>
    </row>
    <row r="38" spans="1:42" x14ac:dyDescent="0.35">
      <c r="A38">
        <v>1037</v>
      </c>
      <c r="B38" s="1">
        <v>45661</v>
      </c>
      <c r="C38" s="8" t="s">
        <v>35</v>
      </c>
      <c r="D38" s="8" t="s">
        <v>42</v>
      </c>
      <c r="E38" s="8" t="s">
        <v>26</v>
      </c>
      <c r="F38" s="8" t="s">
        <v>59</v>
      </c>
      <c r="G38" s="8" t="s">
        <v>20</v>
      </c>
      <c r="H38">
        <v>20</v>
      </c>
      <c r="I38">
        <v>2000</v>
      </c>
      <c r="J38">
        <v>0.08</v>
      </c>
      <c r="K38">
        <v>36800</v>
      </c>
      <c r="L38">
        <v>30000</v>
      </c>
      <c r="M38">
        <v>6800</v>
      </c>
      <c r="N38" s="8" t="s">
        <v>21</v>
      </c>
      <c r="O38" s="8" t="s">
        <v>40</v>
      </c>
      <c r="P38" s="8" t="s">
        <v>147</v>
      </c>
      <c r="Q38" t="b">
        <v>0</v>
      </c>
      <c r="R38" t="b">
        <v>0</v>
      </c>
      <c r="S38" t="b">
        <v>0</v>
      </c>
      <c r="T38">
        <v>0.18478260869565216</v>
      </c>
      <c r="U38" s="8" t="s">
        <v>162</v>
      </c>
      <c r="V38" s="8" t="s">
        <v>163</v>
      </c>
      <c r="W38" s="8" t="s">
        <v>164</v>
      </c>
      <c r="X38" s="8" t="s">
        <v>165</v>
      </c>
      <c r="Y38" s="8" t="s">
        <v>166</v>
      </c>
      <c r="Z38" s="8" t="s">
        <v>162</v>
      </c>
      <c r="AA38">
        <v>5</v>
      </c>
      <c r="AB38" s="8" t="s">
        <v>20</v>
      </c>
      <c r="AC38" s="8" t="s">
        <v>167</v>
      </c>
      <c r="AD38">
        <v>2</v>
      </c>
      <c r="AE38" s="2">
        <v>46087</v>
      </c>
      <c r="AF38" s="2">
        <v>46087.668971874999</v>
      </c>
      <c r="AG38">
        <v>4</v>
      </c>
      <c r="AH38">
        <v>1</v>
      </c>
      <c r="AI38">
        <v>2025</v>
      </c>
      <c r="AJ38" s="8" t="s">
        <v>142</v>
      </c>
      <c r="AK38">
        <v>7</v>
      </c>
      <c r="AL38">
        <v>0.4375</v>
      </c>
      <c r="AM38">
        <v>10</v>
      </c>
      <c r="AN38">
        <v>30</v>
      </c>
      <c r="AP38">
        <v>0.18478260869565216</v>
      </c>
    </row>
    <row r="39" spans="1:42" x14ac:dyDescent="0.35">
      <c r="A39">
        <v>1038</v>
      </c>
      <c r="B39" s="1">
        <v>45683</v>
      </c>
      <c r="C39" s="8" t="s">
        <v>24</v>
      </c>
      <c r="D39" s="8" t="s">
        <v>54</v>
      </c>
      <c r="E39" s="8" t="s">
        <v>46</v>
      </c>
      <c r="F39" s="8" t="s">
        <v>47</v>
      </c>
      <c r="G39" s="8" t="s">
        <v>52</v>
      </c>
      <c r="H39">
        <v>12</v>
      </c>
      <c r="I39">
        <v>100</v>
      </c>
      <c r="J39">
        <v>0.08</v>
      </c>
      <c r="K39">
        <v>1104</v>
      </c>
      <c r="L39">
        <v>600</v>
      </c>
      <c r="M39">
        <v>504</v>
      </c>
      <c r="N39" s="8" t="s">
        <v>21</v>
      </c>
      <c r="O39" s="8" t="s">
        <v>22</v>
      </c>
      <c r="P39" s="8" t="s">
        <v>147</v>
      </c>
      <c r="Q39" t="b">
        <v>0</v>
      </c>
      <c r="R39" t="b">
        <v>0</v>
      </c>
      <c r="S39" t="b">
        <v>0</v>
      </c>
      <c r="T39">
        <v>0.45652173913043476</v>
      </c>
      <c r="U39" s="8" t="s">
        <v>168</v>
      </c>
      <c r="V39" s="8" t="s">
        <v>169</v>
      </c>
      <c r="W39" s="8" t="s">
        <v>170</v>
      </c>
      <c r="X39" s="8" t="s">
        <v>171</v>
      </c>
      <c r="Y39" s="8" t="s">
        <v>172</v>
      </c>
      <c r="Z39" s="8" t="s">
        <v>168</v>
      </c>
      <c r="AA39">
        <v>5</v>
      </c>
      <c r="AB39" s="8" t="s">
        <v>52</v>
      </c>
      <c r="AC39" s="8" t="s">
        <v>173</v>
      </c>
      <c r="AD39">
        <v>2</v>
      </c>
      <c r="AE39" s="2">
        <v>46087</v>
      </c>
      <c r="AF39" s="2">
        <v>46087.668971874999</v>
      </c>
      <c r="AG39">
        <v>26</v>
      </c>
      <c r="AH39">
        <v>1</v>
      </c>
      <c r="AI39">
        <v>2025</v>
      </c>
      <c r="AJ39" s="8" t="s">
        <v>143</v>
      </c>
      <c r="AK39">
        <v>1</v>
      </c>
      <c r="AL39">
        <v>0.4375</v>
      </c>
      <c r="AM39">
        <v>10</v>
      </c>
      <c r="AN39">
        <v>30</v>
      </c>
      <c r="AP39">
        <v>0.45652173913043476</v>
      </c>
    </row>
    <row r="40" spans="1:42" x14ac:dyDescent="0.35">
      <c r="A40">
        <v>1039</v>
      </c>
      <c r="B40" s="1">
        <v>45668</v>
      </c>
      <c r="C40" s="8" t="s">
        <v>32</v>
      </c>
      <c r="D40" s="8" t="s">
        <v>17</v>
      </c>
      <c r="E40" s="8" t="s">
        <v>26</v>
      </c>
      <c r="F40" s="8" t="s">
        <v>33</v>
      </c>
      <c r="G40" s="8" t="s">
        <v>20</v>
      </c>
      <c r="H40">
        <v>5</v>
      </c>
      <c r="I40">
        <v>20000</v>
      </c>
      <c r="J40">
        <v>0.1</v>
      </c>
      <c r="K40">
        <v>90000</v>
      </c>
      <c r="L40">
        <v>75000</v>
      </c>
      <c r="M40">
        <v>15000</v>
      </c>
      <c r="N40" s="8" t="s">
        <v>39</v>
      </c>
      <c r="O40" s="8" t="s">
        <v>40</v>
      </c>
      <c r="P40" s="8" t="s">
        <v>147</v>
      </c>
      <c r="Q40" t="b">
        <v>0</v>
      </c>
      <c r="R40" t="b">
        <v>0</v>
      </c>
      <c r="S40" t="b">
        <v>0</v>
      </c>
      <c r="T40">
        <v>0.16666666666666666</v>
      </c>
      <c r="U40" s="8" t="s">
        <v>148</v>
      </c>
      <c r="V40" s="8" t="s">
        <v>149</v>
      </c>
      <c r="W40" s="8" t="s">
        <v>150</v>
      </c>
      <c r="X40" s="8" t="s">
        <v>151</v>
      </c>
      <c r="Y40" s="8" t="s">
        <v>152</v>
      </c>
      <c r="Z40" s="8" t="s">
        <v>148</v>
      </c>
      <c r="AA40">
        <v>5</v>
      </c>
      <c r="AB40" s="8" t="s">
        <v>20</v>
      </c>
      <c r="AC40" s="8" t="s">
        <v>153</v>
      </c>
      <c r="AD40">
        <v>2</v>
      </c>
      <c r="AE40" s="2">
        <v>46087</v>
      </c>
      <c r="AF40" s="2">
        <v>46087.668971874999</v>
      </c>
      <c r="AG40">
        <v>11</v>
      </c>
      <c r="AH40">
        <v>1</v>
      </c>
      <c r="AI40">
        <v>2025</v>
      </c>
      <c r="AJ40" s="8" t="s">
        <v>142</v>
      </c>
      <c r="AK40">
        <v>7</v>
      </c>
      <c r="AL40">
        <v>0.4375</v>
      </c>
      <c r="AM40">
        <v>10</v>
      </c>
      <c r="AN40">
        <v>30</v>
      </c>
      <c r="AP40">
        <v>0.16666666666666666</v>
      </c>
    </row>
    <row r="41" spans="1:42" x14ac:dyDescent="0.35">
      <c r="A41">
        <v>1040</v>
      </c>
      <c r="B41" s="1">
        <v>45661</v>
      </c>
      <c r="C41" s="8" t="s">
        <v>24</v>
      </c>
      <c r="D41" s="8" t="s">
        <v>54</v>
      </c>
      <c r="E41" s="8" t="s">
        <v>18</v>
      </c>
      <c r="F41" s="8" t="s">
        <v>43</v>
      </c>
      <c r="G41" s="8" t="s">
        <v>52</v>
      </c>
      <c r="H41">
        <v>1</v>
      </c>
      <c r="I41">
        <v>12000</v>
      </c>
      <c r="J41">
        <v>0</v>
      </c>
      <c r="K41">
        <v>12000</v>
      </c>
      <c r="L41">
        <v>8000</v>
      </c>
      <c r="M41">
        <v>4000</v>
      </c>
      <c r="N41" s="8" t="s">
        <v>21</v>
      </c>
      <c r="O41" s="8" t="s">
        <v>22</v>
      </c>
      <c r="P41" s="8" t="s">
        <v>147</v>
      </c>
      <c r="Q41" t="b">
        <v>0</v>
      </c>
      <c r="R41" t="b">
        <v>0</v>
      </c>
      <c r="S41" t="b">
        <v>0</v>
      </c>
      <c r="T41">
        <v>0.33333333333333331</v>
      </c>
      <c r="U41" s="8" t="s">
        <v>168</v>
      </c>
      <c r="V41" s="8" t="s">
        <v>169</v>
      </c>
      <c r="W41" s="8" t="s">
        <v>170</v>
      </c>
      <c r="X41" s="8" t="s">
        <v>171</v>
      </c>
      <c r="Y41" s="8" t="s">
        <v>172</v>
      </c>
      <c r="Z41" s="8" t="s">
        <v>168</v>
      </c>
      <c r="AA41">
        <v>5</v>
      </c>
      <c r="AB41" s="8" t="s">
        <v>52</v>
      </c>
      <c r="AC41" s="8" t="s">
        <v>173</v>
      </c>
      <c r="AD41">
        <v>2</v>
      </c>
      <c r="AE41" s="2">
        <v>46087</v>
      </c>
      <c r="AF41" s="2">
        <v>46087.668971874999</v>
      </c>
      <c r="AG41">
        <v>4</v>
      </c>
      <c r="AH41">
        <v>1</v>
      </c>
      <c r="AI41">
        <v>2025</v>
      </c>
      <c r="AJ41" s="8" t="s">
        <v>142</v>
      </c>
      <c r="AK41">
        <v>7</v>
      </c>
      <c r="AL41">
        <v>0.4375</v>
      </c>
      <c r="AM41">
        <v>10</v>
      </c>
      <c r="AN41">
        <v>30</v>
      </c>
      <c r="AP41">
        <v>0.33333333333333331</v>
      </c>
    </row>
    <row r="42" spans="1:42" x14ac:dyDescent="0.35">
      <c r="A42">
        <v>1041</v>
      </c>
      <c r="B42" s="1">
        <v>45703</v>
      </c>
      <c r="C42" s="8" t="s">
        <v>24</v>
      </c>
      <c r="D42" s="8" t="s">
        <v>17</v>
      </c>
      <c r="E42" s="8" t="s">
        <v>46</v>
      </c>
      <c r="F42" s="8" t="s">
        <v>72</v>
      </c>
      <c r="G42" s="8" t="s">
        <v>20</v>
      </c>
      <c r="H42">
        <v>19</v>
      </c>
      <c r="I42">
        <v>200</v>
      </c>
      <c r="J42">
        <v>0</v>
      </c>
      <c r="K42">
        <v>3800</v>
      </c>
      <c r="L42">
        <v>2280</v>
      </c>
      <c r="M42">
        <v>1520</v>
      </c>
      <c r="N42" s="8" t="s">
        <v>44</v>
      </c>
      <c r="O42" s="8" t="s">
        <v>40</v>
      </c>
      <c r="P42" s="8" t="s">
        <v>147</v>
      </c>
      <c r="Q42" t="b">
        <v>0</v>
      </c>
      <c r="R42" t="b">
        <v>0</v>
      </c>
      <c r="S42" t="b">
        <v>0</v>
      </c>
      <c r="T42">
        <v>0.4</v>
      </c>
      <c r="U42" s="8" t="s">
        <v>148</v>
      </c>
      <c r="V42" s="8" t="s">
        <v>149</v>
      </c>
      <c r="W42" s="8" t="s">
        <v>150</v>
      </c>
      <c r="X42" s="8" t="s">
        <v>151</v>
      </c>
      <c r="Y42" s="8" t="s">
        <v>152</v>
      </c>
      <c r="Z42" s="8" t="s">
        <v>148</v>
      </c>
      <c r="AA42">
        <v>5</v>
      </c>
      <c r="AB42" s="8" t="s">
        <v>20</v>
      </c>
      <c r="AC42" s="8" t="s">
        <v>153</v>
      </c>
      <c r="AD42">
        <v>2</v>
      </c>
      <c r="AE42" s="2">
        <v>46087</v>
      </c>
      <c r="AF42" s="2">
        <v>46087.668971874999</v>
      </c>
      <c r="AG42">
        <v>15</v>
      </c>
      <c r="AH42">
        <v>2</v>
      </c>
      <c r="AI42">
        <v>2025</v>
      </c>
      <c r="AJ42" s="8" t="s">
        <v>142</v>
      </c>
      <c r="AK42">
        <v>7</v>
      </c>
      <c r="AL42">
        <v>0.4375</v>
      </c>
      <c r="AM42">
        <v>10</v>
      </c>
      <c r="AN42">
        <v>30</v>
      </c>
      <c r="AP42">
        <v>0.4</v>
      </c>
    </row>
    <row r="43" spans="1:42" x14ac:dyDescent="0.35">
      <c r="A43">
        <v>1042</v>
      </c>
      <c r="B43" s="1">
        <v>45667</v>
      </c>
      <c r="C43" s="8" t="s">
        <v>16</v>
      </c>
      <c r="D43" s="8" t="s">
        <v>25</v>
      </c>
      <c r="E43" s="8" t="s">
        <v>46</v>
      </c>
      <c r="F43" s="8" t="s">
        <v>47</v>
      </c>
      <c r="G43" s="8" t="s">
        <v>52</v>
      </c>
      <c r="H43">
        <v>4</v>
      </c>
      <c r="I43">
        <v>100</v>
      </c>
      <c r="J43">
        <v>0.02</v>
      </c>
      <c r="K43">
        <v>0</v>
      </c>
      <c r="L43">
        <v>200</v>
      </c>
      <c r="M43">
        <v>192</v>
      </c>
      <c r="N43" s="8" t="s">
        <v>29</v>
      </c>
      <c r="O43" s="8" t="s">
        <v>40</v>
      </c>
      <c r="P43" s="8" t="s">
        <v>147</v>
      </c>
      <c r="Q43" t="b">
        <v>0</v>
      </c>
      <c r="R43" t="b">
        <v>1</v>
      </c>
      <c r="S43" t="b">
        <v>1</v>
      </c>
      <c r="T43" t="s">
        <v>174</v>
      </c>
      <c r="U43" s="8" t="s">
        <v>154</v>
      </c>
      <c r="V43" s="8" t="s">
        <v>155</v>
      </c>
      <c r="W43" s="8" t="s">
        <v>156</v>
      </c>
      <c r="X43" s="8" t="s">
        <v>157</v>
      </c>
      <c r="Y43" s="8" t="s">
        <v>158</v>
      </c>
      <c r="Z43" s="8" t="s">
        <v>159</v>
      </c>
      <c r="AA43">
        <v>4</v>
      </c>
      <c r="AB43" s="8" t="s">
        <v>52</v>
      </c>
      <c r="AC43" s="8" t="s">
        <v>160</v>
      </c>
      <c r="AD43">
        <v>3</v>
      </c>
      <c r="AE43" s="2">
        <v>46087</v>
      </c>
      <c r="AF43" s="2">
        <v>46087.668971874999</v>
      </c>
      <c r="AG43">
        <v>10</v>
      </c>
      <c r="AH43">
        <v>1</v>
      </c>
      <c r="AI43">
        <v>2025</v>
      </c>
      <c r="AJ43" s="8" t="s">
        <v>140</v>
      </c>
      <c r="AK43">
        <v>6</v>
      </c>
      <c r="AL43">
        <v>0.4375</v>
      </c>
      <c r="AM43">
        <v>10</v>
      </c>
      <c r="AN43">
        <v>30</v>
      </c>
      <c r="AP43" t="e">
        <v>#NUM!</v>
      </c>
    </row>
    <row r="44" spans="1:42" x14ac:dyDescent="0.35">
      <c r="A44">
        <v>1043</v>
      </c>
      <c r="B44" s="1">
        <v>45667</v>
      </c>
      <c r="C44" s="8" t="s">
        <v>24</v>
      </c>
      <c r="D44" s="8" t="s">
        <v>17</v>
      </c>
      <c r="E44" s="8" t="s">
        <v>26</v>
      </c>
      <c r="F44" s="8" t="s">
        <v>50</v>
      </c>
      <c r="G44" s="8" t="s">
        <v>20</v>
      </c>
      <c r="H44">
        <v>2</v>
      </c>
      <c r="I44">
        <v>55000</v>
      </c>
      <c r="J44">
        <v>0.08</v>
      </c>
      <c r="K44">
        <v>101200</v>
      </c>
      <c r="L44">
        <v>100000</v>
      </c>
      <c r="M44">
        <v>1200</v>
      </c>
      <c r="N44" s="8" t="s">
        <v>29</v>
      </c>
      <c r="O44" s="8" t="s">
        <v>30</v>
      </c>
      <c r="P44" s="8" t="s">
        <v>147</v>
      </c>
      <c r="Q44" t="b">
        <v>0</v>
      </c>
      <c r="R44" t="b">
        <v>1</v>
      </c>
      <c r="S44" t="b">
        <v>0</v>
      </c>
      <c r="T44">
        <v>1.1857707509881422E-2</v>
      </c>
      <c r="U44" s="8" t="s">
        <v>148</v>
      </c>
      <c r="V44" s="8" t="s">
        <v>149</v>
      </c>
      <c r="W44" s="8" t="s">
        <v>150</v>
      </c>
      <c r="X44" s="8" t="s">
        <v>151</v>
      </c>
      <c r="Y44" s="8" t="s">
        <v>152</v>
      </c>
      <c r="Z44" s="8" t="s">
        <v>148</v>
      </c>
      <c r="AA44">
        <v>5</v>
      </c>
      <c r="AB44" s="8" t="s">
        <v>20</v>
      </c>
      <c r="AC44" s="8" t="s">
        <v>153</v>
      </c>
      <c r="AD44">
        <v>2</v>
      </c>
      <c r="AE44" s="2">
        <v>46087</v>
      </c>
      <c r="AF44" s="2">
        <v>46087.668971874999</v>
      </c>
      <c r="AG44">
        <v>10</v>
      </c>
      <c r="AH44">
        <v>1</v>
      </c>
      <c r="AI44">
        <v>2025</v>
      </c>
      <c r="AJ44" s="8" t="s">
        <v>140</v>
      </c>
      <c r="AK44">
        <v>6</v>
      </c>
      <c r="AL44">
        <v>0.4375</v>
      </c>
      <c r="AM44">
        <v>10</v>
      </c>
      <c r="AN44">
        <v>30</v>
      </c>
      <c r="AP44">
        <v>1.1857707509881422E-2</v>
      </c>
    </row>
    <row r="45" spans="1:42" x14ac:dyDescent="0.35">
      <c r="A45">
        <v>1044</v>
      </c>
      <c r="B45" s="1">
        <v>45669</v>
      </c>
      <c r="C45" s="8" t="s">
        <v>32</v>
      </c>
      <c r="D45" s="8" t="s">
        <v>25</v>
      </c>
      <c r="E45" s="8" t="s">
        <v>18</v>
      </c>
      <c r="F45" s="8" t="s">
        <v>19</v>
      </c>
      <c r="G45" s="8" t="s">
        <v>20</v>
      </c>
      <c r="H45">
        <v>19</v>
      </c>
      <c r="I45">
        <v>3000</v>
      </c>
      <c r="J45">
        <v>0</v>
      </c>
      <c r="K45">
        <v>57000</v>
      </c>
      <c r="L45">
        <v>38000</v>
      </c>
      <c r="M45">
        <v>19000</v>
      </c>
      <c r="N45" s="8" t="s">
        <v>21</v>
      </c>
      <c r="O45" s="8" t="s">
        <v>22</v>
      </c>
      <c r="P45" s="8" t="s">
        <v>147</v>
      </c>
      <c r="Q45" t="b">
        <v>0</v>
      </c>
      <c r="R45" t="b">
        <v>0</v>
      </c>
      <c r="S45" t="b">
        <v>0</v>
      </c>
      <c r="T45">
        <v>0.33333333333333331</v>
      </c>
      <c r="U45" s="8" t="s">
        <v>154</v>
      </c>
      <c r="V45" s="8" t="s">
        <v>155</v>
      </c>
      <c r="W45" s="8" t="s">
        <v>156</v>
      </c>
      <c r="X45" s="8" t="s">
        <v>157</v>
      </c>
      <c r="Y45" s="8" t="s">
        <v>158</v>
      </c>
      <c r="Z45" s="8" t="s">
        <v>159</v>
      </c>
      <c r="AA45">
        <v>4</v>
      </c>
      <c r="AB45" s="8" t="s">
        <v>20</v>
      </c>
      <c r="AC45" s="8" t="s">
        <v>160</v>
      </c>
      <c r="AD45">
        <v>3</v>
      </c>
      <c r="AE45" s="2">
        <v>46087</v>
      </c>
      <c r="AF45" s="2">
        <v>46087.668971874999</v>
      </c>
      <c r="AG45">
        <v>12</v>
      </c>
      <c r="AH45">
        <v>1</v>
      </c>
      <c r="AI45">
        <v>2025</v>
      </c>
      <c r="AJ45" s="8" t="s">
        <v>143</v>
      </c>
      <c r="AK45">
        <v>1</v>
      </c>
      <c r="AL45">
        <v>0.4375</v>
      </c>
      <c r="AM45">
        <v>10</v>
      </c>
      <c r="AN45">
        <v>30</v>
      </c>
      <c r="AP45">
        <v>0.33333333333333331</v>
      </c>
    </row>
    <row r="46" spans="1:42" x14ac:dyDescent="0.35">
      <c r="A46">
        <v>1045</v>
      </c>
      <c r="B46" s="1">
        <v>45664</v>
      </c>
      <c r="C46" s="8" t="s">
        <v>16</v>
      </c>
      <c r="D46" s="8" t="s">
        <v>17</v>
      </c>
      <c r="E46" s="8" t="s">
        <v>26</v>
      </c>
      <c r="F46" s="8" t="s">
        <v>50</v>
      </c>
      <c r="G46" s="8" t="s">
        <v>52</v>
      </c>
      <c r="H46">
        <v>19</v>
      </c>
      <c r="I46">
        <v>55000</v>
      </c>
      <c r="J46">
        <v>0.1</v>
      </c>
      <c r="K46">
        <v>940500</v>
      </c>
      <c r="L46">
        <v>950000</v>
      </c>
      <c r="M46">
        <v>-9500</v>
      </c>
      <c r="N46" s="8" t="s">
        <v>44</v>
      </c>
      <c r="O46" s="8" t="s">
        <v>22</v>
      </c>
      <c r="P46" s="8" t="s">
        <v>161</v>
      </c>
      <c r="Q46" t="b">
        <v>0</v>
      </c>
      <c r="R46" t="b">
        <v>1</v>
      </c>
      <c r="S46" t="b">
        <v>0</v>
      </c>
      <c r="T46">
        <v>-1.0101010101010102E-2</v>
      </c>
      <c r="U46" s="8" t="s">
        <v>148</v>
      </c>
      <c r="V46" s="8" t="s">
        <v>149</v>
      </c>
      <c r="W46" s="8" t="s">
        <v>150</v>
      </c>
      <c r="X46" s="8" t="s">
        <v>151</v>
      </c>
      <c r="Y46" s="8" t="s">
        <v>152</v>
      </c>
      <c r="Z46" s="8" t="s">
        <v>148</v>
      </c>
      <c r="AA46">
        <v>5</v>
      </c>
      <c r="AB46" s="8" t="s">
        <v>52</v>
      </c>
      <c r="AC46" s="8" t="s">
        <v>153</v>
      </c>
      <c r="AD46">
        <v>2</v>
      </c>
      <c r="AE46" s="2">
        <v>46087</v>
      </c>
      <c r="AF46" s="2">
        <v>46087.668971874999</v>
      </c>
      <c r="AG46">
        <v>7</v>
      </c>
      <c r="AH46">
        <v>1</v>
      </c>
      <c r="AI46">
        <v>2025</v>
      </c>
      <c r="AJ46" s="8" t="s">
        <v>145</v>
      </c>
      <c r="AK46">
        <v>3</v>
      </c>
      <c r="AL46">
        <v>0.4375</v>
      </c>
      <c r="AM46">
        <v>10</v>
      </c>
      <c r="AN46">
        <v>30</v>
      </c>
      <c r="AP46">
        <v>-1.0101010101010102E-2</v>
      </c>
    </row>
    <row r="47" spans="1:42" x14ac:dyDescent="0.35">
      <c r="A47">
        <v>1046</v>
      </c>
      <c r="B47" s="1">
        <v>45711</v>
      </c>
      <c r="C47" s="8" t="s">
        <v>24</v>
      </c>
      <c r="D47" s="8" t="s">
        <v>42</v>
      </c>
      <c r="E47" s="8" t="s">
        <v>18</v>
      </c>
      <c r="F47" s="8" t="s">
        <v>38</v>
      </c>
      <c r="G47" s="8" t="s">
        <v>52</v>
      </c>
      <c r="H47">
        <v>18</v>
      </c>
      <c r="I47">
        <v>35000</v>
      </c>
      <c r="J47">
        <v>0.02</v>
      </c>
      <c r="K47">
        <v>617400</v>
      </c>
      <c r="L47">
        <v>450000</v>
      </c>
      <c r="M47">
        <v>167400</v>
      </c>
      <c r="N47" s="8" t="s">
        <v>39</v>
      </c>
      <c r="O47" s="8" t="s">
        <v>40</v>
      </c>
      <c r="P47" s="8" t="s">
        <v>161</v>
      </c>
      <c r="Q47" t="b">
        <v>0</v>
      </c>
      <c r="R47" t="b">
        <v>1</v>
      </c>
      <c r="S47" t="b">
        <v>0</v>
      </c>
      <c r="T47">
        <v>0.27113702623906705</v>
      </c>
      <c r="U47" s="8" t="s">
        <v>162</v>
      </c>
      <c r="V47" s="8" t="s">
        <v>163</v>
      </c>
      <c r="W47" s="8" t="s">
        <v>164</v>
      </c>
      <c r="X47" s="8" t="s">
        <v>165</v>
      </c>
      <c r="Y47" s="8" t="s">
        <v>166</v>
      </c>
      <c r="Z47" s="8" t="s">
        <v>162</v>
      </c>
      <c r="AA47">
        <v>5</v>
      </c>
      <c r="AB47" s="8" t="s">
        <v>52</v>
      </c>
      <c r="AC47" s="8" t="s">
        <v>167</v>
      </c>
      <c r="AD47">
        <v>2</v>
      </c>
      <c r="AE47" s="2">
        <v>46087</v>
      </c>
      <c r="AF47" s="2">
        <v>46087.668971874999</v>
      </c>
      <c r="AG47">
        <v>23</v>
      </c>
      <c r="AH47">
        <v>2</v>
      </c>
      <c r="AI47">
        <v>2025</v>
      </c>
      <c r="AJ47" s="8" t="s">
        <v>143</v>
      </c>
      <c r="AK47">
        <v>1</v>
      </c>
      <c r="AL47">
        <v>0.4375</v>
      </c>
      <c r="AM47">
        <v>10</v>
      </c>
      <c r="AN47">
        <v>30</v>
      </c>
      <c r="AP47">
        <v>0.27113702623906705</v>
      </c>
    </row>
    <row r="48" spans="1:42" x14ac:dyDescent="0.35">
      <c r="A48">
        <v>1047</v>
      </c>
      <c r="B48" s="1">
        <v>45686</v>
      </c>
      <c r="C48" s="8" t="s">
        <v>16</v>
      </c>
      <c r="D48" s="8" t="s">
        <v>17</v>
      </c>
      <c r="E48" s="8" t="s">
        <v>18</v>
      </c>
      <c r="F48" s="8" t="s">
        <v>43</v>
      </c>
      <c r="G48" s="8" t="s">
        <v>28</v>
      </c>
      <c r="H48">
        <v>10</v>
      </c>
      <c r="I48">
        <v>12000</v>
      </c>
      <c r="J48">
        <v>0.05</v>
      </c>
      <c r="K48">
        <v>114000</v>
      </c>
      <c r="L48">
        <v>80000</v>
      </c>
      <c r="M48">
        <v>34000</v>
      </c>
      <c r="N48" s="8" t="s">
        <v>39</v>
      </c>
      <c r="O48" s="8" t="s">
        <v>22</v>
      </c>
      <c r="P48" s="8" t="s">
        <v>147</v>
      </c>
      <c r="Q48" t="b">
        <v>0</v>
      </c>
      <c r="R48" t="b">
        <v>0</v>
      </c>
      <c r="S48" t="b">
        <v>0</v>
      </c>
      <c r="T48">
        <v>0.2982456140350877</v>
      </c>
      <c r="U48" s="8" t="s">
        <v>148</v>
      </c>
      <c r="V48" s="8" t="s">
        <v>149</v>
      </c>
      <c r="W48" s="8" t="s">
        <v>150</v>
      </c>
      <c r="X48" s="8" t="s">
        <v>151</v>
      </c>
      <c r="Y48" s="8" t="s">
        <v>152</v>
      </c>
      <c r="Z48" s="8" t="s">
        <v>148</v>
      </c>
      <c r="AA48">
        <v>5</v>
      </c>
      <c r="AB48" s="8" t="s">
        <v>28</v>
      </c>
      <c r="AC48" s="8" t="s">
        <v>153</v>
      </c>
      <c r="AD48">
        <v>2</v>
      </c>
      <c r="AE48" s="2">
        <v>46087</v>
      </c>
      <c r="AF48" s="2">
        <v>46087.668971874999</v>
      </c>
      <c r="AG48">
        <v>29</v>
      </c>
      <c r="AH48">
        <v>1</v>
      </c>
      <c r="AI48">
        <v>2025</v>
      </c>
      <c r="AJ48" s="8" t="s">
        <v>146</v>
      </c>
      <c r="AK48">
        <v>4</v>
      </c>
      <c r="AL48">
        <v>0.4375</v>
      </c>
      <c r="AM48">
        <v>10</v>
      </c>
      <c r="AN48">
        <v>30</v>
      </c>
      <c r="AP48">
        <v>0.2982456140350877</v>
      </c>
    </row>
    <row r="49" spans="1:42" x14ac:dyDescent="0.35">
      <c r="A49">
        <v>1048</v>
      </c>
      <c r="B49" s="1">
        <v>45666</v>
      </c>
      <c r="C49" s="8" t="s">
        <v>35</v>
      </c>
      <c r="D49" s="8" t="s">
        <v>17</v>
      </c>
      <c r="E49" s="8" t="s">
        <v>26</v>
      </c>
      <c r="F49" s="8" t="s">
        <v>27</v>
      </c>
      <c r="G49" s="8" t="s">
        <v>20</v>
      </c>
      <c r="H49">
        <v>19</v>
      </c>
      <c r="I49">
        <v>15000</v>
      </c>
      <c r="J49">
        <v>0</v>
      </c>
      <c r="K49">
        <v>285000</v>
      </c>
      <c r="L49">
        <v>228000</v>
      </c>
      <c r="M49">
        <v>57000</v>
      </c>
      <c r="N49" s="8" t="s">
        <v>21</v>
      </c>
      <c r="O49" s="8" t="s">
        <v>22</v>
      </c>
      <c r="P49" s="8" t="s">
        <v>147</v>
      </c>
      <c r="Q49" t="b">
        <v>0</v>
      </c>
      <c r="R49" t="b">
        <v>0</v>
      </c>
      <c r="S49" t="b">
        <v>0</v>
      </c>
      <c r="T49">
        <v>0.2</v>
      </c>
      <c r="U49" s="8" t="s">
        <v>148</v>
      </c>
      <c r="V49" s="8" t="s">
        <v>149</v>
      </c>
      <c r="W49" s="8" t="s">
        <v>150</v>
      </c>
      <c r="X49" s="8" t="s">
        <v>151</v>
      </c>
      <c r="Y49" s="8" t="s">
        <v>152</v>
      </c>
      <c r="Z49" s="8" t="s">
        <v>148</v>
      </c>
      <c r="AA49">
        <v>5</v>
      </c>
      <c r="AB49" s="8" t="s">
        <v>20</v>
      </c>
      <c r="AC49" s="8" t="s">
        <v>153</v>
      </c>
      <c r="AD49">
        <v>2</v>
      </c>
      <c r="AE49" s="2">
        <v>46087</v>
      </c>
      <c r="AF49" s="2">
        <v>46087.668971874999</v>
      </c>
      <c r="AG49">
        <v>9</v>
      </c>
      <c r="AH49">
        <v>1</v>
      </c>
      <c r="AI49">
        <v>2025</v>
      </c>
      <c r="AJ49" s="8" t="s">
        <v>144</v>
      </c>
      <c r="AK49">
        <v>5</v>
      </c>
      <c r="AL49">
        <v>0.4375</v>
      </c>
      <c r="AM49">
        <v>10</v>
      </c>
      <c r="AN49">
        <v>30</v>
      </c>
      <c r="AP49">
        <v>0.2</v>
      </c>
    </row>
    <row r="50" spans="1:42" x14ac:dyDescent="0.35">
      <c r="A50">
        <v>1049</v>
      </c>
      <c r="B50" s="1">
        <v>45704</v>
      </c>
      <c r="C50" s="8" t="s">
        <v>16</v>
      </c>
      <c r="D50" s="8" t="s">
        <v>17</v>
      </c>
      <c r="E50" s="8" t="s">
        <v>26</v>
      </c>
      <c r="F50" s="8" t="s">
        <v>33</v>
      </c>
      <c r="G50" s="8" t="s">
        <v>52</v>
      </c>
      <c r="H50">
        <v>3</v>
      </c>
      <c r="I50">
        <v>20000</v>
      </c>
      <c r="J50">
        <v>0</v>
      </c>
      <c r="K50">
        <v>60000</v>
      </c>
      <c r="L50">
        <v>45000</v>
      </c>
      <c r="M50">
        <v>15000</v>
      </c>
      <c r="N50" s="8" t="s">
        <v>39</v>
      </c>
      <c r="O50" s="8" t="s">
        <v>40</v>
      </c>
      <c r="P50" s="8" t="s">
        <v>147</v>
      </c>
      <c r="Q50" t="b">
        <v>0</v>
      </c>
      <c r="R50" t="b">
        <v>0</v>
      </c>
      <c r="S50" t="b">
        <v>0</v>
      </c>
      <c r="T50">
        <v>0.25</v>
      </c>
      <c r="U50" s="8" t="s">
        <v>148</v>
      </c>
      <c r="V50" s="8" t="s">
        <v>149</v>
      </c>
      <c r="W50" s="8" t="s">
        <v>150</v>
      </c>
      <c r="X50" s="8" t="s">
        <v>151</v>
      </c>
      <c r="Y50" s="8" t="s">
        <v>152</v>
      </c>
      <c r="Z50" s="8" t="s">
        <v>148</v>
      </c>
      <c r="AA50">
        <v>5</v>
      </c>
      <c r="AB50" s="8" t="s">
        <v>52</v>
      </c>
      <c r="AC50" s="8" t="s">
        <v>153</v>
      </c>
      <c r="AD50">
        <v>2</v>
      </c>
      <c r="AE50" s="2">
        <v>46087</v>
      </c>
      <c r="AF50" s="2">
        <v>46087.668971874999</v>
      </c>
      <c r="AG50">
        <v>16</v>
      </c>
      <c r="AH50">
        <v>2</v>
      </c>
      <c r="AI50">
        <v>2025</v>
      </c>
      <c r="AJ50" s="8" t="s">
        <v>143</v>
      </c>
      <c r="AK50">
        <v>1</v>
      </c>
      <c r="AL50">
        <v>0.4375</v>
      </c>
      <c r="AM50">
        <v>10</v>
      </c>
      <c r="AN50">
        <v>30</v>
      </c>
      <c r="AP50">
        <v>0.25</v>
      </c>
    </row>
    <row r="51" spans="1:42" x14ac:dyDescent="0.35">
      <c r="A51">
        <v>1050</v>
      </c>
      <c r="B51" s="1">
        <v>45683</v>
      </c>
      <c r="C51" s="8" t="s">
        <v>35</v>
      </c>
      <c r="D51" s="8" t="s">
        <v>54</v>
      </c>
      <c r="E51" s="8" t="s">
        <v>26</v>
      </c>
      <c r="F51" s="8" t="s">
        <v>33</v>
      </c>
      <c r="G51" s="8" t="s">
        <v>28</v>
      </c>
      <c r="H51">
        <v>11</v>
      </c>
      <c r="I51">
        <v>20000</v>
      </c>
      <c r="J51">
        <v>0.02</v>
      </c>
      <c r="K51">
        <v>215600</v>
      </c>
      <c r="L51">
        <v>165000</v>
      </c>
      <c r="M51">
        <v>50600</v>
      </c>
      <c r="N51" s="8" t="s">
        <v>39</v>
      </c>
      <c r="O51" s="8" t="s">
        <v>30</v>
      </c>
      <c r="P51" s="8" t="s">
        <v>147</v>
      </c>
      <c r="Q51" t="b">
        <v>0</v>
      </c>
      <c r="R51" t="b">
        <v>0</v>
      </c>
      <c r="S51" t="b">
        <v>0</v>
      </c>
      <c r="T51">
        <v>0.23469387755102042</v>
      </c>
      <c r="U51" s="8" t="s">
        <v>168</v>
      </c>
      <c r="V51" s="8" t="s">
        <v>169</v>
      </c>
      <c r="W51" s="8" t="s">
        <v>170</v>
      </c>
      <c r="X51" s="8" t="s">
        <v>171</v>
      </c>
      <c r="Y51" s="8" t="s">
        <v>172</v>
      </c>
      <c r="Z51" s="8" t="s">
        <v>168</v>
      </c>
      <c r="AA51">
        <v>5</v>
      </c>
      <c r="AB51" s="8" t="s">
        <v>28</v>
      </c>
      <c r="AC51" s="8" t="s">
        <v>173</v>
      </c>
      <c r="AD51">
        <v>2</v>
      </c>
      <c r="AE51" s="2">
        <v>46087</v>
      </c>
      <c r="AF51" s="2">
        <v>46087.668971874999</v>
      </c>
      <c r="AG51">
        <v>26</v>
      </c>
      <c r="AH51">
        <v>1</v>
      </c>
      <c r="AI51">
        <v>2025</v>
      </c>
      <c r="AJ51" s="8" t="s">
        <v>143</v>
      </c>
      <c r="AK51">
        <v>1</v>
      </c>
      <c r="AL51">
        <v>0.4375</v>
      </c>
      <c r="AM51">
        <v>10</v>
      </c>
      <c r="AN51">
        <v>30</v>
      </c>
      <c r="AP51">
        <v>0.23469387755102042</v>
      </c>
    </row>
    <row r="52" spans="1:42" x14ac:dyDescent="0.35">
      <c r="A52">
        <v>1051</v>
      </c>
      <c r="B52" s="1">
        <v>45693</v>
      </c>
      <c r="C52" s="8" t="s">
        <v>32</v>
      </c>
      <c r="D52" s="8" t="s">
        <v>17</v>
      </c>
      <c r="E52" s="8" t="s">
        <v>18</v>
      </c>
      <c r="F52" s="8" t="s">
        <v>19</v>
      </c>
      <c r="G52" s="8" t="s">
        <v>20</v>
      </c>
      <c r="H52">
        <v>9</v>
      </c>
      <c r="I52">
        <v>3000</v>
      </c>
      <c r="J52">
        <v>0.05</v>
      </c>
      <c r="K52">
        <v>25650</v>
      </c>
      <c r="L52">
        <v>18000</v>
      </c>
      <c r="M52">
        <v>7650</v>
      </c>
      <c r="N52" s="8" t="s">
        <v>21</v>
      </c>
      <c r="O52" s="8" t="s">
        <v>22</v>
      </c>
      <c r="P52" s="8" t="s">
        <v>147</v>
      </c>
      <c r="Q52" t="b">
        <v>0</v>
      </c>
      <c r="R52" t="b">
        <v>0</v>
      </c>
      <c r="S52" t="b">
        <v>0</v>
      </c>
      <c r="T52">
        <v>0.2982456140350877</v>
      </c>
      <c r="U52" s="8" t="s">
        <v>148</v>
      </c>
      <c r="V52" s="8" t="s">
        <v>149</v>
      </c>
      <c r="W52" s="8" t="s">
        <v>150</v>
      </c>
      <c r="X52" s="8" t="s">
        <v>151</v>
      </c>
      <c r="Y52" s="8" t="s">
        <v>152</v>
      </c>
      <c r="Z52" s="8" t="s">
        <v>148</v>
      </c>
      <c r="AA52">
        <v>5</v>
      </c>
      <c r="AB52" s="8" t="s">
        <v>20</v>
      </c>
      <c r="AC52" s="8" t="s">
        <v>153</v>
      </c>
      <c r="AD52">
        <v>2</v>
      </c>
      <c r="AE52" s="2">
        <v>46087</v>
      </c>
      <c r="AF52" s="2">
        <v>46087.668971874999</v>
      </c>
      <c r="AG52">
        <v>5</v>
      </c>
      <c r="AH52">
        <v>2</v>
      </c>
      <c r="AI52">
        <v>2025</v>
      </c>
      <c r="AJ52" s="8" t="s">
        <v>146</v>
      </c>
      <c r="AK52">
        <v>4</v>
      </c>
      <c r="AL52">
        <v>0.4375</v>
      </c>
      <c r="AM52">
        <v>10</v>
      </c>
      <c r="AN52">
        <v>30</v>
      </c>
      <c r="AP52">
        <v>0.2982456140350877</v>
      </c>
    </row>
    <row r="53" spans="1:42" x14ac:dyDescent="0.35">
      <c r="A53">
        <v>1052</v>
      </c>
      <c r="B53" s="1">
        <v>45708</v>
      </c>
      <c r="C53" s="8" t="s">
        <v>16</v>
      </c>
      <c r="D53" s="8" t="s">
        <v>42</v>
      </c>
      <c r="E53" s="8" t="s">
        <v>18</v>
      </c>
      <c r="F53" s="8" t="s">
        <v>19</v>
      </c>
      <c r="G53" s="8" t="s">
        <v>20</v>
      </c>
      <c r="H53">
        <v>5</v>
      </c>
      <c r="I53">
        <v>3000</v>
      </c>
      <c r="J53">
        <v>0.05</v>
      </c>
      <c r="K53">
        <v>14250</v>
      </c>
      <c r="L53">
        <v>10000</v>
      </c>
      <c r="M53">
        <v>4250</v>
      </c>
      <c r="N53" s="8" t="s">
        <v>39</v>
      </c>
      <c r="O53" s="8" t="s">
        <v>22</v>
      </c>
      <c r="P53" s="8" t="s">
        <v>147</v>
      </c>
      <c r="Q53" t="b">
        <v>0</v>
      </c>
      <c r="R53" t="b">
        <v>0</v>
      </c>
      <c r="S53" t="b">
        <v>0</v>
      </c>
      <c r="T53">
        <v>0.2982456140350877</v>
      </c>
      <c r="U53" s="8" t="s">
        <v>162</v>
      </c>
      <c r="V53" s="8" t="s">
        <v>163</v>
      </c>
      <c r="W53" s="8" t="s">
        <v>164</v>
      </c>
      <c r="X53" s="8" t="s">
        <v>165</v>
      </c>
      <c r="Y53" s="8" t="s">
        <v>166</v>
      </c>
      <c r="Z53" s="8" t="s">
        <v>162</v>
      </c>
      <c r="AA53">
        <v>5</v>
      </c>
      <c r="AB53" s="8" t="s">
        <v>20</v>
      </c>
      <c r="AC53" s="8" t="s">
        <v>167</v>
      </c>
      <c r="AD53">
        <v>2</v>
      </c>
      <c r="AE53" s="2">
        <v>46087</v>
      </c>
      <c r="AF53" s="2">
        <v>46087.668971874999</v>
      </c>
      <c r="AG53">
        <v>20</v>
      </c>
      <c r="AH53">
        <v>2</v>
      </c>
      <c r="AI53">
        <v>2025</v>
      </c>
      <c r="AJ53" s="8" t="s">
        <v>144</v>
      </c>
      <c r="AK53">
        <v>5</v>
      </c>
      <c r="AL53">
        <v>0.4375</v>
      </c>
      <c r="AM53">
        <v>10</v>
      </c>
      <c r="AN53">
        <v>30</v>
      </c>
      <c r="AP53">
        <v>0.2982456140350877</v>
      </c>
    </row>
    <row r="54" spans="1:42" x14ac:dyDescent="0.35">
      <c r="A54">
        <v>1053</v>
      </c>
      <c r="B54" s="1">
        <v>45701</v>
      </c>
      <c r="C54" s="8" t="s">
        <v>16</v>
      </c>
      <c r="D54" s="8" t="s">
        <v>42</v>
      </c>
      <c r="E54" s="8" t="s">
        <v>46</v>
      </c>
      <c r="F54" s="8" t="s">
        <v>49</v>
      </c>
      <c r="G54" s="8" t="s">
        <v>20</v>
      </c>
      <c r="H54">
        <v>4</v>
      </c>
      <c r="I54">
        <v>500</v>
      </c>
      <c r="J54">
        <v>0.15</v>
      </c>
      <c r="K54">
        <v>1700</v>
      </c>
      <c r="L54">
        <v>1400</v>
      </c>
      <c r="M54">
        <v>300</v>
      </c>
      <c r="N54" s="8" t="s">
        <v>44</v>
      </c>
      <c r="O54" s="8" t="s">
        <v>40</v>
      </c>
      <c r="P54" s="8" t="s">
        <v>147</v>
      </c>
      <c r="Q54" t="b">
        <v>0</v>
      </c>
      <c r="R54" t="b">
        <v>0</v>
      </c>
      <c r="S54" t="b">
        <v>0</v>
      </c>
      <c r="T54">
        <v>0.17647058823529413</v>
      </c>
      <c r="U54" s="8" t="s">
        <v>162</v>
      </c>
      <c r="V54" s="8" t="s">
        <v>163</v>
      </c>
      <c r="W54" s="8" t="s">
        <v>164</v>
      </c>
      <c r="X54" s="8" t="s">
        <v>165</v>
      </c>
      <c r="Y54" s="8" t="s">
        <v>166</v>
      </c>
      <c r="Z54" s="8" t="s">
        <v>162</v>
      </c>
      <c r="AA54">
        <v>5</v>
      </c>
      <c r="AB54" s="8" t="s">
        <v>20</v>
      </c>
      <c r="AC54" s="8" t="s">
        <v>167</v>
      </c>
      <c r="AD54">
        <v>2</v>
      </c>
      <c r="AE54" s="2">
        <v>46087</v>
      </c>
      <c r="AF54" s="2">
        <v>46087.668971874999</v>
      </c>
      <c r="AG54">
        <v>13</v>
      </c>
      <c r="AH54">
        <v>2</v>
      </c>
      <c r="AI54">
        <v>2025</v>
      </c>
      <c r="AJ54" s="8" t="s">
        <v>144</v>
      </c>
      <c r="AK54">
        <v>5</v>
      </c>
      <c r="AL54">
        <v>0.4375</v>
      </c>
      <c r="AM54">
        <v>10</v>
      </c>
      <c r="AN54">
        <v>30</v>
      </c>
      <c r="AP54">
        <v>0.17647058823529413</v>
      </c>
    </row>
    <row r="55" spans="1:42" x14ac:dyDescent="0.35">
      <c r="A55">
        <v>1054</v>
      </c>
      <c r="B55" s="1">
        <v>45662</v>
      </c>
      <c r="C55" s="8" t="s">
        <v>24</v>
      </c>
      <c r="D55" s="8" t="s">
        <v>42</v>
      </c>
      <c r="E55" s="8" t="s">
        <v>46</v>
      </c>
      <c r="F55" s="8" t="s">
        <v>47</v>
      </c>
      <c r="G55" s="8" t="s">
        <v>20</v>
      </c>
      <c r="H55">
        <v>17</v>
      </c>
      <c r="I55">
        <v>100</v>
      </c>
      <c r="J55">
        <v>0.1</v>
      </c>
      <c r="K55">
        <v>1530</v>
      </c>
      <c r="L55">
        <v>850</v>
      </c>
      <c r="M55">
        <v>680</v>
      </c>
      <c r="N55" s="8" t="s">
        <v>39</v>
      </c>
      <c r="O55" s="8" t="s">
        <v>30</v>
      </c>
      <c r="P55" s="8" t="s">
        <v>147</v>
      </c>
      <c r="Q55" t="b">
        <v>0</v>
      </c>
      <c r="R55" t="b">
        <v>0</v>
      </c>
      <c r="S55" t="b">
        <v>0</v>
      </c>
      <c r="T55">
        <v>0.44444444444444442</v>
      </c>
      <c r="U55" s="8" t="s">
        <v>162</v>
      </c>
      <c r="V55" s="8" t="s">
        <v>163</v>
      </c>
      <c r="W55" s="8" t="s">
        <v>164</v>
      </c>
      <c r="X55" s="8" t="s">
        <v>165</v>
      </c>
      <c r="Y55" s="8" t="s">
        <v>166</v>
      </c>
      <c r="Z55" s="8" t="s">
        <v>162</v>
      </c>
      <c r="AA55">
        <v>5</v>
      </c>
      <c r="AB55" s="8" t="s">
        <v>20</v>
      </c>
      <c r="AC55" s="8" t="s">
        <v>167</v>
      </c>
      <c r="AD55">
        <v>2</v>
      </c>
      <c r="AE55" s="2">
        <v>46087</v>
      </c>
      <c r="AF55" s="2">
        <v>46087.668971874999</v>
      </c>
      <c r="AG55">
        <v>5</v>
      </c>
      <c r="AH55">
        <v>1</v>
      </c>
      <c r="AI55">
        <v>2025</v>
      </c>
      <c r="AJ55" s="8" t="s">
        <v>143</v>
      </c>
      <c r="AK55">
        <v>1</v>
      </c>
      <c r="AL55">
        <v>0.4375</v>
      </c>
      <c r="AM55">
        <v>10</v>
      </c>
      <c r="AN55">
        <v>30</v>
      </c>
      <c r="AP55">
        <v>0.44444444444444442</v>
      </c>
    </row>
    <row r="56" spans="1:42" x14ac:dyDescent="0.35">
      <c r="A56">
        <v>1055</v>
      </c>
      <c r="B56" s="1">
        <v>45703</v>
      </c>
      <c r="C56" s="8" t="s">
        <v>32</v>
      </c>
      <c r="D56" s="8" t="s">
        <v>54</v>
      </c>
      <c r="E56" s="8" t="s">
        <v>18</v>
      </c>
      <c r="F56" s="8" t="s">
        <v>36</v>
      </c>
      <c r="G56" s="8" t="s">
        <v>52</v>
      </c>
      <c r="H56">
        <v>8</v>
      </c>
      <c r="I56">
        <v>25000</v>
      </c>
      <c r="J56">
        <v>0.05</v>
      </c>
      <c r="K56">
        <v>190000</v>
      </c>
      <c r="L56">
        <v>144000</v>
      </c>
      <c r="M56">
        <v>46000</v>
      </c>
      <c r="N56" s="8" t="s">
        <v>29</v>
      </c>
      <c r="O56" s="8" t="s">
        <v>30</v>
      </c>
      <c r="P56" s="8" t="s">
        <v>147</v>
      </c>
      <c r="Q56" t="b">
        <v>0</v>
      </c>
      <c r="R56" t="b">
        <v>1</v>
      </c>
      <c r="S56" t="b">
        <v>0</v>
      </c>
      <c r="T56">
        <v>0.24210526315789474</v>
      </c>
      <c r="U56" s="8" t="s">
        <v>168</v>
      </c>
      <c r="V56" s="8" t="s">
        <v>169</v>
      </c>
      <c r="W56" s="8" t="s">
        <v>170</v>
      </c>
      <c r="X56" s="8" t="s">
        <v>171</v>
      </c>
      <c r="Y56" s="8" t="s">
        <v>172</v>
      </c>
      <c r="Z56" s="8" t="s">
        <v>168</v>
      </c>
      <c r="AA56">
        <v>5</v>
      </c>
      <c r="AB56" s="8" t="s">
        <v>52</v>
      </c>
      <c r="AC56" s="8" t="s">
        <v>173</v>
      </c>
      <c r="AD56">
        <v>2</v>
      </c>
      <c r="AE56" s="2">
        <v>46087</v>
      </c>
      <c r="AF56" s="2">
        <v>46087.668971874999</v>
      </c>
      <c r="AG56">
        <v>15</v>
      </c>
      <c r="AH56">
        <v>2</v>
      </c>
      <c r="AI56">
        <v>2025</v>
      </c>
      <c r="AJ56" s="8" t="s">
        <v>142</v>
      </c>
      <c r="AK56">
        <v>7</v>
      </c>
      <c r="AL56">
        <v>0.4375</v>
      </c>
      <c r="AM56">
        <v>10</v>
      </c>
      <c r="AN56">
        <v>30</v>
      </c>
      <c r="AP56">
        <v>0.24210526315789474</v>
      </c>
    </row>
    <row r="57" spans="1:42" x14ac:dyDescent="0.35">
      <c r="A57">
        <v>1056</v>
      </c>
      <c r="B57" s="1">
        <v>45704</v>
      </c>
      <c r="C57" s="8" t="s">
        <v>32</v>
      </c>
      <c r="D57" s="8" t="s">
        <v>54</v>
      </c>
      <c r="E57" s="8" t="s">
        <v>46</v>
      </c>
      <c r="F57" s="8" t="s">
        <v>49</v>
      </c>
      <c r="G57" s="8" t="s">
        <v>52</v>
      </c>
      <c r="H57">
        <v>14</v>
      </c>
      <c r="I57">
        <v>500</v>
      </c>
      <c r="J57">
        <v>0.02</v>
      </c>
      <c r="K57">
        <v>6860</v>
      </c>
      <c r="L57">
        <v>4900</v>
      </c>
      <c r="M57">
        <v>1960</v>
      </c>
      <c r="N57" s="8" t="s">
        <v>21</v>
      </c>
      <c r="O57" s="8" t="s">
        <v>40</v>
      </c>
      <c r="P57" s="8" t="s">
        <v>147</v>
      </c>
      <c r="Q57" t="b">
        <v>0</v>
      </c>
      <c r="R57" t="b">
        <v>0</v>
      </c>
      <c r="S57" t="b">
        <v>0</v>
      </c>
      <c r="T57">
        <v>0.2857142857142857</v>
      </c>
      <c r="U57" s="8" t="s">
        <v>168</v>
      </c>
      <c r="V57" s="8" t="s">
        <v>169</v>
      </c>
      <c r="W57" s="8" t="s">
        <v>170</v>
      </c>
      <c r="X57" s="8" t="s">
        <v>171</v>
      </c>
      <c r="Y57" s="8" t="s">
        <v>172</v>
      </c>
      <c r="Z57" s="8" t="s">
        <v>168</v>
      </c>
      <c r="AA57">
        <v>5</v>
      </c>
      <c r="AB57" s="8" t="s">
        <v>52</v>
      </c>
      <c r="AC57" s="8" t="s">
        <v>173</v>
      </c>
      <c r="AD57">
        <v>2</v>
      </c>
      <c r="AE57" s="2">
        <v>46087</v>
      </c>
      <c r="AF57" s="2">
        <v>46087.668971874999</v>
      </c>
      <c r="AG57">
        <v>16</v>
      </c>
      <c r="AH57">
        <v>2</v>
      </c>
      <c r="AI57">
        <v>2025</v>
      </c>
      <c r="AJ57" s="8" t="s">
        <v>143</v>
      </c>
      <c r="AK57">
        <v>1</v>
      </c>
      <c r="AL57">
        <v>0.4375</v>
      </c>
      <c r="AM57">
        <v>10</v>
      </c>
      <c r="AN57">
        <v>30</v>
      </c>
      <c r="AP57">
        <v>0.2857142857142857</v>
      </c>
    </row>
    <row r="58" spans="1:42" x14ac:dyDescent="0.35">
      <c r="A58">
        <v>1057</v>
      </c>
      <c r="B58" s="1">
        <v>45718</v>
      </c>
      <c r="C58" s="8" t="s">
        <v>32</v>
      </c>
      <c r="D58" s="8" t="s">
        <v>54</v>
      </c>
      <c r="E58" s="8" t="s">
        <v>26</v>
      </c>
      <c r="F58" s="8" t="s">
        <v>33</v>
      </c>
      <c r="G58" s="8" t="s">
        <v>52</v>
      </c>
      <c r="H58">
        <v>7</v>
      </c>
      <c r="I58">
        <v>20000</v>
      </c>
      <c r="J58">
        <v>0</v>
      </c>
      <c r="K58">
        <v>140000</v>
      </c>
      <c r="L58">
        <v>105000</v>
      </c>
      <c r="M58">
        <v>35000</v>
      </c>
      <c r="N58" s="8" t="s">
        <v>29</v>
      </c>
      <c r="O58" s="8" t="s">
        <v>40</v>
      </c>
      <c r="P58" s="8" t="s">
        <v>147</v>
      </c>
      <c r="Q58" t="b">
        <v>0</v>
      </c>
      <c r="R58" t="b">
        <v>1</v>
      </c>
      <c r="S58" t="b">
        <v>0</v>
      </c>
      <c r="T58">
        <v>0.25</v>
      </c>
      <c r="U58" s="8" t="s">
        <v>168</v>
      </c>
      <c r="V58" s="8" t="s">
        <v>169</v>
      </c>
      <c r="W58" s="8" t="s">
        <v>170</v>
      </c>
      <c r="X58" s="8" t="s">
        <v>171</v>
      </c>
      <c r="Y58" s="8" t="s">
        <v>172</v>
      </c>
      <c r="Z58" s="8" t="s">
        <v>168</v>
      </c>
      <c r="AA58">
        <v>5</v>
      </c>
      <c r="AB58" s="8" t="s">
        <v>52</v>
      </c>
      <c r="AC58" s="8" t="s">
        <v>173</v>
      </c>
      <c r="AD58">
        <v>2</v>
      </c>
      <c r="AE58" s="2">
        <v>46087</v>
      </c>
      <c r="AF58" s="2">
        <v>46087.668971874999</v>
      </c>
      <c r="AG58">
        <v>2</v>
      </c>
      <c r="AH58">
        <v>3</v>
      </c>
      <c r="AI58">
        <v>2025</v>
      </c>
      <c r="AJ58" s="8" t="s">
        <v>143</v>
      </c>
      <c r="AK58">
        <v>1</v>
      </c>
      <c r="AL58">
        <v>0.4375</v>
      </c>
      <c r="AM58">
        <v>10</v>
      </c>
      <c r="AN58">
        <v>30</v>
      </c>
      <c r="AP58">
        <v>0.25</v>
      </c>
    </row>
    <row r="59" spans="1:42" x14ac:dyDescent="0.35">
      <c r="A59">
        <v>1058</v>
      </c>
      <c r="B59" s="1">
        <v>45711</v>
      </c>
      <c r="C59" s="8" t="s">
        <v>35</v>
      </c>
      <c r="D59" s="8" t="s">
        <v>42</v>
      </c>
      <c r="E59" s="8" t="s">
        <v>26</v>
      </c>
      <c r="F59" s="8" t="s">
        <v>59</v>
      </c>
      <c r="G59" s="8" t="s">
        <v>52</v>
      </c>
      <c r="H59">
        <v>5</v>
      </c>
      <c r="I59">
        <v>2000</v>
      </c>
      <c r="J59">
        <v>0.1</v>
      </c>
      <c r="K59">
        <v>9000</v>
      </c>
      <c r="L59">
        <v>7500</v>
      </c>
      <c r="M59">
        <v>1500</v>
      </c>
      <c r="N59" s="8" t="s">
        <v>29</v>
      </c>
      <c r="O59" s="8" t="s">
        <v>30</v>
      </c>
      <c r="P59" s="8" t="s">
        <v>147</v>
      </c>
      <c r="Q59" t="b">
        <v>0</v>
      </c>
      <c r="R59" t="b">
        <v>1</v>
      </c>
      <c r="S59" t="b">
        <v>0</v>
      </c>
      <c r="T59">
        <v>0.16666666666666666</v>
      </c>
      <c r="U59" s="8" t="s">
        <v>162</v>
      </c>
      <c r="V59" s="8" t="s">
        <v>163</v>
      </c>
      <c r="W59" s="8" t="s">
        <v>164</v>
      </c>
      <c r="X59" s="8" t="s">
        <v>165</v>
      </c>
      <c r="Y59" s="8" t="s">
        <v>166</v>
      </c>
      <c r="Z59" s="8" t="s">
        <v>162</v>
      </c>
      <c r="AA59">
        <v>5</v>
      </c>
      <c r="AB59" s="8" t="s">
        <v>52</v>
      </c>
      <c r="AC59" s="8" t="s">
        <v>167</v>
      </c>
      <c r="AD59">
        <v>2</v>
      </c>
      <c r="AE59" s="2">
        <v>46087</v>
      </c>
      <c r="AF59" s="2">
        <v>46087.668971874999</v>
      </c>
      <c r="AG59">
        <v>23</v>
      </c>
      <c r="AH59">
        <v>2</v>
      </c>
      <c r="AI59">
        <v>2025</v>
      </c>
      <c r="AJ59" s="8" t="s">
        <v>143</v>
      </c>
      <c r="AK59">
        <v>1</v>
      </c>
      <c r="AL59">
        <v>0.4375</v>
      </c>
      <c r="AM59">
        <v>10</v>
      </c>
      <c r="AN59">
        <v>30</v>
      </c>
      <c r="AP59">
        <v>0.16666666666666666</v>
      </c>
    </row>
    <row r="60" spans="1:42" x14ac:dyDescent="0.35">
      <c r="A60">
        <v>1059</v>
      </c>
      <c r="B60" s="1">
        <v>45684</v>
      </c>
      <c r="C60" s="8" t="s">
        <v>35</v>
      </c>
      <c r="D60" s="8" t="s">
        <v>17</v>
      </c>
      <c r="E60" s="8" t="s">
        <v>46</v>
      </c>
      <c r="F60" s="8" t="s">
        <v>47</v>
      </c>
      <c r="G60" s="8" t="s">
        <v>20</v>
      </c>
      <c r="H60">
        <v>15</v>
      </c>
      <c r="I60">
        <v>100</v>
      </c>
      <c r="J60">
        <v>0.08</v>
      </c>
      <c r="K60">
        <v>1380</v>
      </c>
      <c r="L60">
        <v>750</v>
      </c>
      <c r="M60">
        <v>630</v>
      </c>
      <c r="N60" s="8" t="s">
        <v>21</v>
      </c>
      <c r="O60" s="8" t="s">
        <v>40</v>
      </c>
      <c r="P60" s="8" t="s">
        <v>147</v>
      </c>
      <c r="Q60" t="b">
        <v>0</v>
      </c>
      <c r="R60" t="b">
        <v>0</v>
      </c>
      <c r="S60" t="b">
        <v>0</v>
      </c>
      <c r="T60">
        <v>0.45652173913043476</v>
      </c>
      <c r="U60" s="8" t="s">
        <v>148</v>
      </c>
      <c r="V60" s="8" t="s">
        <v>149</v>
      </c>
      <c r="W60" s="8" t="s">
        <v>150</v>
      </c>
      <c r="X60" s="8" t="s">
        <v>151</v>
      </c>
      <c r="Y60" s="8" t="s">
        <v>152</v>
      </c>
      <c r="Z60" s="8" t="s">
        <v>148</v>
      </c>
      <c r="AA60">
        <v>5</v>
      </c>
      <c r="AB60" s="8" t="s">
        <v>20</v>
      </c>
      <c r="AC60" s="8" t="s">
        <v>153</v>
      </c>
      <c r="AD60">
        <v>2</v>
      </c>
      <c r="AE60" s="2">
        <v>46087</v>
      </c>
      <c r="AF60" s="2">
        <v>46087.668971874999</v>
      </c>
      <c r="AG60">
        <v>27</v>
      </c>
      <c r="AH60">
        <v>1</v>
      </c>
      <c r="AI60">
        <v>2025</v>
      </c>
      <c r="AJ60" s="8" t="s">
        <v>141</v>
      </c>
      <c r="AK60">
        <v>2</v>
      </c>
      <c r="AL60">
        <v>0.4375</v>
      </c>
      <c r="AM60">
        <v>10</v>
      </c>
      <c r="AN60">
        <v>30</v>
      </c>
      <c r="AP60">
        <v>0.45652173913043476</v>
      </c>
    </row>
    <row r="61" spans="1:42" x14ac:dyDescent="0.35">
      <c r="A61">
        <v>1060</v>
      </c>
      <c r="B61" s="1">
        <v>45668</v>
      </c>
      <c r="C61" s="8" t="s">
        <v>16</v>
      </c>
      <c r="D61" s="8" t="s">
        <v>54</v>
      </c>
      <c r="E61" s="8" t="s">
        <v>18</v>
      </c>
      <c r="F61" s="8" t="s">
        <v>43</v>
      </c>
      <c r="G61" s="8" t="s">
        <v>20</v>
      </c>
      <c r="H61">
        <v>5</v>
      </c>
      <c r="I61">
        <v>12000</v>
      </c>
      <c r="J61">
        <v>0.02</v>
      </c>
      <c r="K61">
        <v>58800</v>
      </c>
      <c r="L61">
        <v>40000</v>
      </c>
      <c r="M61">
        <v>18800</v>
      </c>
      <c r="N61" s="8" t="s">
        <v>21</v>
      </c>
      <c r="O61" s="8" t="s">
        <v>30</v>
      </c>
      <c r="P61" s="8" t="s">
        <v>147</v>
      </c>
      <c r="Q61" t="b">
        <v>0</v>
      </c>
      <c r="R61" t="b">
        <v>0</v>
      </c>
      <c r="S61" t="b">
        <v>0</v>
      </c>
      <c r="T61">
        <v>0.31972789115646261</v>
      </c>
      <c r="U61" s="8" t="s">
        <v>168</v>
      </c>
      <c r="V61" s="8" t="s">
        <v>169</v>
      </c>
      <c r="W61" s="8" t="s">
        <v>170</v>
      </c>
      <c r="X61" s="8" t="s">
        <v>171</v>
      </c>
      <c r="Y61" s="8" t="s">
        <v>172</v>
      </c>
      <c r="Z61" s="8" t="s">
        <v>168</v>
      </c>
      <c r="AA61">
        <v>5</v>
      </c>
      <c r="AB61" s="8" t="s">
        <v>20</v>
      </c>
      <c r="AC61" s="8" t="s">
        <v>173</v>
      </c>
      <c r="AD61">
        <v>2</v>
      </c>
      <c r="AE61" s="2">
        <v>46087</v>
      </c>
      <c r="AF61" s="2">
        <v>46087.668971874999</v>
      </c>
      <c r="AG61">
        <v>11</v>
      </c>
      <c r="AH61">
        <v>1</v>
      </c>
      <c r="AI61">
        <v>2025</v>
      </c>
      <c r="AJ61" s="8" t="s">
        <v>142</v>
      </c>
      <c r="AK61">
        <v>7</v>
      </c>
      <c r="AL61">
        <v>0.4375</v>
      </c>
      <c r="AM61">
        <v>10</v>
      </c>
      <c r="AN61">
        <v>30</v>
      </c>
      <c r="AP61">
        <v>0.31972789115646261</v>
      </c>
    </row>
    <row r="62" spans="1:42" x14ac:dyDescent="0.35">
      <c r="A62">
        <v>1061</v>
      </c>
      <c r="B62" s="1">
        <v>45673</v>
      </c>
      <c r="C62" s="8" t="s">
        <v>16</v>
      </c>
      <c r="D62" s="8" t="s">
        <v>17</v>
      </c>
      <c r="E62" s="8" t="s">
        <v>18</v>
      </c>
      <c r="F62" s="8" t="s">
        <v>19</v>
      </c>
      <c r="G62" s="8" t="s">
        <v>28</v>
      </c>
      <c r="H62">
        <v>20</v>
      </c>
      <c r="I62">
        <v>3000</v>
      </c>
      <c r="J62">
        <v>0.02</v>
      </c>
      <c r="K62">
        <v>58800</v>
      </c>
      <c r="L62">
        <v>40000</v>
      </c>
      <c r="M62">
        <v>18800</v>
      </c>
      <c r="N62" s="8" t="s">
        <v>21</v>
      </c>
      <c r="O62" s="8" t="s">
        <v>40</v>
      </c>
      <c r="P62" s="8" t="s">
        <v>147</v>
      </c>
      <c r="Q62" t="b">
        <v>0</v>
      </c>
      <c r="R62" t="b">
        <v>0</v>
      </c>
      <c r="S62" t="b">
        <v>0</v>
      </c>
      <c r="T62">
        <v>0.31972789115646261</v>
      </c>
      <c r="U62" s="8" t="s">
        <v>148</v>
      </c>
      <c r="V62" s="8" t="s">
        <v>149</v>
      </c>
      <c r="W62" s="8" t="s">
        <v>150</v>
      </c>
      <c r="X62" s="8" t="s">
        <v>151</v>
      </c>
      <c r="Y62" s="8" t="s">
        <v>152</v>
      </c>
      <c r="Z62" s="8" t="s">
        <v>148</v>
      </c>
      <c r="AA62">
        <v>5</v>
      </c>
      <c r="AB62" s="8" t="s">
        <v>28</v>
      </c>
      <c r="AC62" s="8" t="s">
        <v>153</v>
      </c>
      <c r="AD62">
        <v>2</v>
      </c>
      <c r="AE62" s="2">
        <v>46087</v>
      </c>
      <c r="AF62" s="2">
        <v>46087.668971874999</v>
      </c>
      <c r="AG62">
        <v>16</v>
      </c>
      <c r="AH62">
        <v>1</v>
      </c>
      <c r="AI62">
        <v>2025</v>
      </c>
      <c r="AJ62" s="8" t="s">
        <v>144</v>
      </c>
      <c r="AK62">
        <v>5</v>
      </c>
      <c r="AL62">
        <v>0.4375</v>
      </c>
      <c r="AM62">
        <v>10</v>
      </c>
      <c r="AN62">
        <v>30</v>
      </c>
      <c r="AP62">
        <v>0.31972789115646261</v>
      </c>
    </row>
    <row r="63" spans="1:42" x14ac:dyDescent="0.35">
      <c r="A63">
        <v>1062</v>
      </c>
      <c r="B63" s="1">
        <v>45686</v>
      </c>
      <c r="C63" s="8" t="s">
        <v>32</v>
      </c>
      <c r="D63" s="8" t="s">
        <v>17</v>
      </c>
      <c r="E63" s="8" t="s">
        <v>18</v>
      </c>
      <c r="F63" s="8" t="s">
        <v>19</v>
      </c>
      <c r="G63" s="8" t="s">
        <v>20</v>
      </c>
      <c r="H63">
        <v>18</v>
      </c>
      <c r="I63">
        <v>3000</v>
      </c>
      <c r="J63">
        <v>0</v>
      </c>
      <c r="K63">
        <v>54000</v>
      </c>
      <c r="L63">
        <v>36000</v>
      </c>
      <c r="M63">
        <v>18000</v>
      </c>
      <c r="N63" s="8" t="s">
        <v>44</v>
      </c>
      <c r="O63" s="8" t="s">
        <v>22</v>
      </c>
      <c r="P63" s="8" t="s">
        <v>147</v>
      </c>
      <c r="Q63" t="b">
        <v>0</v>
      </c>
      <c r="R63" t="b">
        <v>0</v>
      </c>
      <c r="S63" t="b">
        <v>0</v>
      </c>
      <c r="T63">
        <v>0.33333333333333331</v>
      </c>
      <c r="U63" s="8" t="s">
        <v>148</v>
      </c>
      <c r="V63" s="8" t="s">
        <v>149</v>
      </c>
      <c r="W63" s="8" t="s">
        <v>150</v>
      </c>
      <c r="X63" s="8" t="s">
        <v>151</v>
      </c>
      <c r="Y63" s="8" t="s">
        <v>152</v>
      </c>
      <c r="Z63" s="8" t="s">
        <v>148</v>
      </c>
      <c r="AA63">
        <v>5</v>
      </c>
      <c r="AB63" s="8" t="s">
        <v>20</v>
      </c>
      <c r="AC63" s="8" t="s">
        <v>153</v>
      </c>
      <c r="AD63">
        <v>2</v>
      </c>
      <c r="AE63" s="2">
        <v>46087</v>
      </c>
      <c r="AF63" s="2">
        <v>46087.668971874999</v>
      </c>
      <c r="AG63">
        <v>29</v>
      </c>
      <c r="AH63">
        <v>1</v>
      </c>
      <c r="AI63">
        <v>2025</v>
      </c>
      <c r="AJ63" s="8" t="s">
        <v>146</v>
      </c>
      <c r="AK63">
        <v>4</v>
      </c>
      <c r="AL63">
        <v>0.4375</v>
      </c>
      <c r="AM63">
        <v>10</v>
      </c>
      <c r="AN63">
        <v>30</v>
      </c>
      <c r="AP63">
        <v>0.33333333333333331</v>
      </c>
    </row>
    <row r="64" spans="1:42" x14ac:dyDescent="0.35">
      <c r="A64">
        <v>1063</v>
      </c>
      <c r="B64" s="1">
        <v>45664</v>
      </c>
      <c r="C64" s="8" t="s">
        <v>35</v>
      </c>
      <c r="D64" s="8" t="s">
        <v>54</v>
      </c>
      <c r="E64" s="8" t="s">
        <v>18</v>
      </c>
      <c r="F64" s="8" t="s">
        <v>38</v>
      </c>
      <c r="G64" s="8" t="s">
        <v>20</v>
      </c>
      <c r="H64">
        <v>3</v>
      </c>
      <c r="I64">
        <v>35000</v>
      </c>
      <c r="J64">
        <v>0.05</v>
      </c>
      <c r="K64">
        <v>99750</v>
      </c>
      <c r="L64">
        <v>75000</v>
      </c>
      <c r="M64">
        <v>24750</v>
      </c>
      <c r="N64" s="8" t="s">
        <v>29</v>
      </c>
      <c r="O64" s="8" t="s">
        <v>30</v>
      </c>
      <c r="P64" s="8" t="s">
        <v>147</v>
      </c>
      <c r="Q64" t="b">
        <v>0</v>
      </c>
      <c r="R64" t="b">
        <v>1</v>
      </c>
      <c r="S64" t="b">
        <v>0</v>
      </c>
      <c r="T64">
        <v>0.24812030075187969</v>
      </c>
      <c r="U64" s="8" t="s">
        <v>168</v>
      </c>
      <c r="V64" s="8" t="s">
        <v>169</v>
      </c>
      <c r="W64" s="8" t="s">
        <v>170</v>
      </c>
      <c r="X64" s="8" t="s">
        <v>171</v>
      </c>
      <c r="Y64" s="8" t="s">
        <v>172</v>
      </c>
      <c r="Z64" s="8" t="s">
        <v>168</v>
      </c>
      <c r="AA64">
        <v>5</v>
      </c>
      <c r="AB64" s="8" t="s">
        <v>20</v>
      </c>
      <c r="AC64" s="8" t="s">
        <v>173</v>
      </c>
      <c r="AD64">
        <v>2</v>
      </c>
      <c r="AE64" s="2">
        <v>46087</v>
      </c>
      <c r="AF64" s="2">
        <v>46087.668971874999</v>
      </c>
      <c r="AG64">
        <v>7</v>
      </c>
      <c r="AH64">
        <v>1</v>
      </c>
      <c r="AI64">
        <v>2025</v>
      </c>
      <c r="AJ64" s="8" t="s">
        <v>145</v>
      </c>
      <c r="AK64">
        <v>3</v>
      </c>
      <c r="AL64">
        <v>0.4375</v>
      </c>
      <c r="AM64">
        <v>10</v>
      </c>
      <c r="AN64">
        <v>30</v>
      </c>
      <c r="AP64">
        <v>0.24812030075187969</v>
      </c>
    </row>
    <row r="65" spans="1:42" x14ac:dyDescent="0.35">
      <c r="A65">
        <v>1064</v>
      </c>
      <c r="B65" s="1">
        <v>45680</v>
      </c>
      <c r="C65" s="8" t="s">
        <v>16</v>
      </c>
      <c r="D65" s="8" t="s">
        <v>25</v>
      </c>
      <c r="E65" s="8" t="s">
        <v>46</v>
      </c>
      <c r="F65" s="8" t="s">
        <v>49</v>
      </c>
      <c r="G65" s="8" t="s">
        <v>28</v>
      </c>
      <c r="H65">
        <v>19</v>
      </c>
      <c r="I65">
        <v>500</v>
      </c>
      <c r="J65">
        <v>0.02</v>
      </c>
      <c r="K65">
        <v>9310</v>
      </c>
      <c r="L65">
        <v>6650</v>
      </c>
      <c r="M65">
        <v>2660</v>
      </c>
      <c r="N65" s="8" t="s">
        <v>44</v>
      </c>
      <c r="O65" s="8" t="s">
        <v>40</v>
      </c>
      <c r="P65" s="8" t="s">
        <v>147</v>
      </c>
      <c r="Q65" t="b">
        <v>0</v>
      </c>
      <c r="R65" t="b">
        <v>0</v>
      </c>
      <c r="S65" t="b">
        <v>0</v>
      </c>
      <c r="T65">
        <v>0.2857142857142857</v>
      </c>
      <c r="U65" s="8" t="s">
        <v>154</v>
      </c>
      <c r="V65" s="8" t="s">
        <v>155</v>
      </c>
      <c r="W65" s="8" t="s">
        <v>156</v>
      </c>
      <c r="X65" s="8" t="s">
        <v>157</v>
      </c>
      <c r="Y65" s="8" t="s">
        <v>158</v>
      </c>
      <c r="Z65" s="8" t="s">
        <v>159</v>
      </c>
      <c r="AA65">
        <v>4</v>
      </c>
      <c r="AB65" s="8" t="s">
        <v>28</v>
      </c>
      <c r="AC65" s="8" t="s">
        <v>160</v>
      </c>
      <c r="AD65">
        <v>3</v>
      </c>
      <c r="AE65" s="2">
        <v>46087</v>
      </c>
      <c r="AF65" s="2">
        <v>46087.668971874999</v>
      </c>
      <c r="AG65">
        <v>23</v>
      </c>
      <c r="AH65">
        <v>1</v>
      </c>
      <c r="AI65">
        <v>2025</v>
      </c>
      <c r="AJ65" s="8" t="s">
        <v>144</v>
      </c>
      <c r="AK65">
        <v>5</v>
      </c>
      <c r="AL65">
        <v>0.4375</v>
      </c>
      <c r="AM65">
        <v>10</v>
      </c>
      <c r="AN65">
        <v>30</v>
      </c>
      <c r="AP65">
        <v>0.2857142857142857</v>
      </c>
    </row>
    <row r="66" spans="1:42" x14ac:dyDescent="0.35">
      <c r="A66">
        <v>1065</v>
      </c>
      <c r="B66" s="1">
        <v>45718</v>
      </c>
      <c r="C66" s="8" t="s">
        <v>35</v>
      </c>
      <c r="D66" s="8" t="s">
        <v>25</v>
      </c>
      <c r="E66" s="8" t="s">
        <v>26</v>
      </c>
      <c r="F66" s="8" t="s">
        <v>33</v>
      </c>
      <c r="G66" s="8" t="s">
        <v>52</v>
      </c>
      <c r="H66">
        <v>14</v>
      </c>
      <c r="I66">
        <v>20000</v>
      </c>
      <c r="J66">
        <v>0.08</v>
      </c>
      <c r="K66">
        <v>257600</v>
      </c>
      <c r="L66">
        <v>210000</v>
      </c>
      <c r="M66">
        <v>47600</v>
      </c>
      <c r="N66" s="8" t="s">
        <v>44</v>
      </c>
      <c r="O66" s="8" t="s">
        <v>22</v>
      </c>
      <c r="P66" s="8" t="s">
        <v>147</v>
      </c>
      <c r="Q66" t="b">
        <v>0</v>
      </c>
      <c r="R66" t="b">
        <v>0</v>
      </c>
      <c r="S66" t="b">
        <v>0</v>
      </c>
      <c r="T66">
        <v>0.18478260869565216</v>
      </c>
      <c r="U66" s="8" t="s">
        <v>154</v>
      </c>
      <c r="V66" s="8" t="s">
        <v>155</v>
      </c>
      <c r="W66" s="8" t="s">
        <v>156</v>
      </c>
      <c r="X66" s="8" t="s">
        <v>157</v>
      </c>
      <c r="Y66" s="8" t="s">
        <v>158</v>
      </c>
      <c r="Z66" s="8" t="s">
        <v>159</v>
      </c>
      <c r="AA66">
        <v>4</v>
      </c>
      <c r="AB66" s="8" t="s">
        <v>52</v>
      </c>
      <c r="AC66" s="8" t="s">
        <v>160</v>
      </c>
      <c r="AD66">
        <v>3</v>
      </c>
      <c r="AE66" s="2">
        <v>46087</v>
      </c>
      <c r="AF66" s="2">
        <v>46087.668971874999</v>
      </c>
      <c r="AG66">
        <v>2</v>
      </c>
      <c r="AH66">
        <v>3</v>
      </c>
      <c r="AI66">
        <v>2025</v>
      </c>
      <c r="AJ66" s="8" t="s">
        <v>143</v>
      </c>
      <c r="AK66">
        <v>1</v>
      </c>
      <c r="AL66">
        <v>0.4375</v>
      </c>
      <c r="AM66">
        <v>10</v>
      </c>
      <c r="AN66">
        <v>30</v>
      </c>
      <c r="AP66">
        <v>0.18478260869565216</v>
      </c>
    </row>
    <row r="67" spans="1:42" x14ac:dyDescent="0.35">
      <c r="A67">
        <v>1066</v>
      </c>
      <c r="B67" s="1">
        <v>45684</v>
      </c>
      <c r="C67" s="8" t="s">
        <v>35</v>
      </c>
      <c r="D67" s="8" t="s">
        <v>25</v>
      </c>
      <c r="E67" s="8" t="s">
        <v>46</v>
      </c>
      <c r="F67" s="8" t="s">
        <v>47</v>
      </c>
      <c r="G67" s="8" t="s">
        <v>20</v>
      </c>
      <c r="H67">
        <v>5</v>
      </c>
      <c r="I67">
        <v>100</v>
      </c>
      <c r="J67">
        <v>0.02</v>
      </c>
      <c r="K67">
        <v>490</v>
      </c>
      <c r="L67">
        <v>250</v>
      </c>
      <c r="M67">
        <v>240</v>
      </c>
      <c r="N67" s="8" t="s">
        <v>21</v>
      </c>
      <c r="O67" s="8" t="s">
        <v>40</v>
      </c>
      <c r="P67" s="8" t="s">
        <v>147</v>
      </c>
      <c r="Q67" t="b">
        <v>0</v>
      </c>
      <c r="R67" t="b">
        <v>0</v>
      </c>
      <c r="S67" t="b">
        <v>1</v>
      </c>
      <c r="T67">
        <v>0.48979591836734693</v>
      </c>
      <c r="U67" s="8" t="s">
        <v>154</v>
      </c>
      <c r="V67" s="8" t="s">
        <v>155</v>
      </c>
      <c r="W67" s="8" t="s">
        <v>156</v>
      </c>
      <c r="X67" s="8" t="s">
        <v>157</v>
      </c>
      <c r="Y67" s="8" t="s">
        <v>158</v>
      </c>
      <c r="Z67" s="8" t="s">
        <v>159</v>
      </c>
      <c r="AA67">
        <v>4</v>
      </c>
      <c r="AB67" s="8" t="s">
        <v>20</v>
      </c>
      <c r="AC67" s="8" t="s">
        <v>160</v>
      </c>
      <c r="AD67">
        <v>3</v>
      </c>
      <c r="AE67" s="2">
        <v>46087</v>
      </c>
      <c r="AF67" s="2">
        <v>46087.668971874999</v>
      </c>
      <c r="AG67">
        <v>27</v>
      </c>
      <c r="AH67">
        <v>1</v>
      </c>
      <c r="AI67">
        <v>2025</v>
      </c>
      <c r="AJ67" s="8" t="s">
        <v>141</v>
      </c>
      <c r="AK67">
        <v>2</v>
      </c>
      <c r="AL67">
        <v>0.4375</v>
      </c>
      <c r="AM67">
        <v>10</v>
      </c>
      <c r="AN67">
        <v>30</v>
      </c>
      <c r="AP67">
        <v>0.48979591836734693</v>
      </c>
    </row>
    <row r="68" spans="1:42" x14ac:dyDescent="0.35">
      <c r="A68">
        <v>1067</v>
      </c>
      <c r="B68" s="1">
        <v>45702</v>
      </c>
      <c r="C68" s="8" t="s">
        <v>16</v>
      </c>
      <c r="D68" s="8" t="s">
        <v>17</v>
      </c>
      <c r="E68" s="8" t="s">
        <v>18</v>
      </c>
      <c r="F68" s="8" t="s">
        <v>38</v>
      </c>
      <c r="G68" s="8" t="s">
        <v>52</v>
      </c>
      <c r="H68">
        <v>14</v>
      </c>
      <c r="I68">
        <v>35000</v>
      </c>
      <c r="J68">
        <v>0</v>
      </c>
      <c r="K68">
        <v>490000</v>
      </c>
      <c r="L68">
        <v>350000</v>
      </c>
      <c r="M68">
        <v>140000</v>
      </c>
      <c r="N68" s="8" t="s">
        <v>21</v>
      </c>
      <c r="O68" s="8" t="s">
        <v>40</v>
      </c>
      <c r="P68" s="8" t="s">
        <v>161</v>
      </c>
      <c r="Q68" t="b">
        <v>0</v>
      </c>
      <c r="R68" t="b">
        <v>1</v>
      </c>
      <c r="S68" t="b">
        <v>0</v>
      </c>
      <c r="T68">
        <v>0.2857142857142857</v>
      </c>
      <c r="U68" s="8" t="s">
        <v>148</v>
      </c>
      <c r="V68" s="8" t="s">
        <v>149</v>
      </c>
      <c r="W68" s="8" t="s">
        <v>150</v>
      </c>
      <c r="X68" s="8" t="s">
        <v>151</v>
      </c>
      <c r="Y68" s="8" t="s">
        <v>152</v>
      </c>
      <c r="Z68" s="8" t="s">
        <v>148</v>
      </c>
      <c r="AA68">
        <v>5</v>
      </c>
      <c r="AB68" s="8" t="s">
        <v>52</v>
      </c>
      <c r="AC68" s="8" t="s">
        <v>153</v>
      </c>
      <c r="AD68">
        <v>2</v>
      </c>
      <c r="AE68" s="2">
        <v>46087</v>
      </c>
      <c r="AF68" s="2">
        <v>46087.668971874999</v>
      </c>
      <c r="AG68">
        <v>14</v>
      </c>
      <c r="AH68">
        <v>2</v>
      </c>
      <c r="AI68">
        <v>2025</v>
      </c>
      <c r="AJ68" s="8" t="s">
        <v>140</v>
      </c>
      <c r="AK68">
        <v>6</v>
      </c>
      <c r="AL68">
        <v>0.4375</v>
      </c>
      <c r="AM68">
        <v>10</v>
      </c>
      <c r="AN68">
        <v>30</v>
      </c>
      <c r="AP68">
        <v>0.2857142857142857</v>
      </c>
    </row>
    <row r="69" spans="1:42" x14ac:dyDescent="0.35">
      <c r="A69">
        <v>1068</v>
      </c>
      <c r="B69" s="1">
        <v>45684</v>
      </c>
      <c r="C69" s="8" t="s">
        <v>35</v>
      </c>
      <c r="D69" s="8" t="s">
        <v>17</v>
      </c>
      <c r="E69" s="8" t="s">
        <v>18</v>
      </c>
      <c r="F69" s="8" t="s">
        <v>38</v>
      </c>
      <c r="G69" s="8" t="s">
        <v>52</v>
      </c>
      <c r="H69">
        <v>10</v>
      </c>
      <c r="I69">
        <v>35000</v>
      </c>
      <c r="J69">
        <v>0.1</v>
      </c>
      <c r="K69">
        <v>315000</v>
      </c>
      <c r="L69">
        <v>250000</v>
      </c>
      <c r="M69">
        <v>65000</v>
      </c>
      <c r="N69" s="8" t="s">
        <v>21</v>
      </c>
      <c r="O69" s="8" t="s">
        <v>22</v>
      </c>
      <c r="P69" s="8" t="s">
        <v>147</v>
      </c>
      <c r="Q69" t="b">
        <v>0</v>
      </c>
      <c r="R69" t="b">
        <v>1</v>
      </c>
      <c r="S69" t="b">
        <v>0</v>
      </c>
      <c r="T69">
        <v>0.20634920634920634</v>
      </c>
      <c r="U69" s="8" t="s">
        <v>148</v>
      </c>
      <c r="V69" s="8" t="s">
        <v>149</v>
      </c>
      <c r="W69" s="8" t="s">
        <v>150</v>
      </c>
      <c r="X69" s="8" t="s">
        <v>151</v>
      </c>
      <c r="Y69" s="8" t="s">
        <v>152</v>
      </c>
      <c r="Z69" s="8" t="s">
        <v>148</v>
      </c>
      <c r="AA69">
        <v>5</v>
      </c>
      <c r="AB69" s="8" t="s">
        <v>52</v>
      </c>
      <c r="AC69" s="8" t="s">
        <v>153</v>
      </c>
      <c r="AD69">
        <v>2</v>
      </c>
      <c r="AE69" s="2">
        <v>46087</v>
      </c>
      <c r="AF69" s="2">
        <v>46087.668971874999</v>
      </c>
      <c r="AG69">
        <v>27</v>
      </c>
      <c r="AH69">
        <v>1</v>
      </c>
      <c r="AI69">
        <v>2025</v>
      </c>
      <c r="AJ69" s="8" t="s">
        <v>141</v>
      </c>
      <c r="AK69">
        <v>2</v>
      </c>
      <c r="AL69">
        <v>0.4375</v>
      </c>
      <c r="AM69">
        <v>10</v>
      </c>
      <c r="AN69">
        <v>30</v>
      </c>
      <c r="AP69">
        <v>0.20634920634920634</v>
      </c>
    </row>
    <row r="70" spans="1:42" x14ac:dyDescent="0.35">
      <c r="A70">
        <v>1069</v>
      </c>
      <c r="B70" s="1">
        <v>45673</v>
      </c>
      <c r="C70" s="8" t="s">
        <v>35</v>
      </c>
      <c r="D70" s="8" t="s">
        <v>17</v>
      </c>
      <c r="E70" s="8" t="s">
        <v>18</v>
      </c>
      <c r="F70" s="8" t="s">
        <v>36</v>
      </c>
      <c r="G70" s="8" t="s">
        <v>28</v>
      </c>
      <c r="H70">
        <v>1</v>
      </c>
      <c r="I70">
        <v>25000</v>
      </c>
      <c r="J70">
        <v>0.15</v>
      </c>
      <c r="K70">
        <v>21250</v>
      </c>
      <c r="L70">
        <v>18000</v>
      </c>
      <c r="M70">
        <v>3250</v>
      </c>
      <c r="N70" s="8" t="s">
        <v>39</v>
      </c>
      <c r="O70" s="8" t="s">
        <v>22</v>
      </c>
      <c r="P70" s="8" t="s">
        <v>147</v>
      </c>
      <c r="Q70" t="b">
        <v>0</v>
      </c>
      <c r="R70" t="b">
        <v>0</v>
      </c>
      <c r="S70" t="b">
        <v>0</v>
      </c>
      <c r="T70">
        <v>0.15294117647058825</v>
      </c>
      <c r="U70" s="8" t="s">
        <v>148</v>
      </c>
      <c r="V70" s="8" t="s">
        <v>149</v>
      </c>
      <c r="W70" s="8" t="s">
        <v>150</v>
      </c>
      <c r="X70" s="8" t="s">
        <v>151</v>
      </c>
      <c r="Y70" s="8" t="s">
        <v>152</v>
      </c>
      <c r="Z70" s="8" t="s">
        <v>148</v>
      </c>
      <c r="AA70">
        <v>5</v>
      </c>
      <c r="AB70" s="8" t="s">
        <v>28</v>
      </c>
      <c r="AC70" s="8" t="s">
        <v>153</v>
      </c>
      <c r="AD70">
        <v>2</v>
      </c>
      <c r="AE70" s="2">
        <v>46087</v>
      </c>
      <c r="AF70" s="2">
        <v>46087.668971874999</v>
      </c>
      <c r="AG70">
        <v>16</v>
      </c>
      <c r="AH70">
        <v>1</v>
      </c>
      <c r="AI70">
        <v>2025</v>
      </c>
      <c r="AJ70" s="8" t="s">
        <v>144</v>
      </c>
      <c r="AK70">
        <v>5</v>
      </c>
      <c r="AL70">
        <v>0.4375</v>
      </c>
      <c r="AM70">
        <v>10</v>
      </c>
      <c r="AN70">
        <v>30</v>
      </c>
      <c r="AP70">
        <v>0.15294117647058825</v>
      </c>
    </row>
    <row r="71" spans="1:42" x14ac:dyDescent="0.35">
      <c r="A71">
        <v>1070</v>
      </c>
      <c r="B71" s="1">
        <v>45701</v>
      </c>
      <c r="C71" s="8" t="s">
        <v>32</v>
      </c>
      <c r="D71" s="8" t="s">
        <v>25</v>
      </c>
      <c r="E71" s="8" t="s">
        <v>26</v>
      </c>
      <c r="F71" s="8" t="s">
        <v>33</v>
      </c>
      <c r="G71" s="8" t="s">
        <v>52</v>
      </c>
      <c r="H71">
        <v>16</v>
      </c>
      <c r="I71">
        <v>20000</v>
      </c>
      <c r="J71">
        <v>0.08</v>
      </c>
      <c r="K71">
        <v>294400</v>
      </c>
      <c r="L71">
        <v>240000</v>
      </c>
      <c r="M71">
        <v>54400</v>
      </c>
      <c r="N71" s="8" t="s">
        <v>29</v>
      </c>
      <c r="O71" s="8" t="s">
        <v>30</v>
      </c>
      <c r="P71" s="8" t="s">
        <v>147</v>
      </c>
      <c r="Q71" t="b">
        <v>0</v>
      </c>
      <c r="R71" t="b">
        <v>1</v>
      </c>
      <c r="S71" t="b">
        <v>0</v>
      </c>
      <c r="T71">
        <v>0.18478260869565216</v>
      </c>
      <c r="U71" s="8" t="s">
        <v>154</v>
      </c>
      <c r="V71" s="8" t="s">
        <v>155</v>
      </c>
      <c r="W71" s="8" t="s">
        <v>156</v>
      </c>
      <c r="X71" s="8" t="s">
        <v>157</v>
      </c>
      <c r="Y71" s="8" t="s">
        <v>158</v>
      </c>
      <c r="Z71" s="8" t="s">
        <v>159</v>
      </c>
      <c r="AA71">
        <v>4</v>
      </c>
      <c r="AB71" s="8" t="s">
        <v>52</v>
      </c>
      <c r="AC71" s="8" t="s">
        <v>160</v>
      </c>
      <c r="AD71">
        <v>3</v>
      </c>
      <c r="AE71" s="2">
        <v>46087</v>
      </c>
      <c r="AF71" s="2">
        <v>46087.668971874999</v>
      </c>
      <c r="AG71">
        <v>13</v>
      </c>
      <c r="AH71">
        <v>2</v>
      </c>
      <c r="AI71">
        <v>2025</v>
      </c>
      <c r="AJ71" s="8" t="s">
        <v>144</v>
      </c>
      <c r="AK71">
        <v>5</v>
      </c>
      <c r="AL71">
        <v>0.4375</v>
      </c>
      <c r="AM71">
        <v>10</v>
      </c>
      <c r="AN71">
        <v>30</v>
      </c>
      <c r="AP71">
        <v>0.18478260869565216</v>
      </c>
    </row>
  </sheetData>
  <phoneticPr fontId="1" type="noConversion"/>
  <conditionalFormatting sqref="M1:M1048576">
    <cfRule type="dataBar" priority="2">
      <dataBar>
        <cfvo type="min"/>
        <cfvo type="max"/>
        <color rgb="FF638EC6"/>
      </dataBar>
      <extLst>
        <ext xmlns:x14="http://schemas.microsoft.com/office/spreadsheetml/2009/9/main" uri="{B025F937-C7B1-47D3-B67F-A62EFF666E3E}">
          <x14:id>{D8247046-E794-4263-A7CD-C55BDF689849}</x14:id>
        </ext>
      </extLst>
    </cfRule>
  </conditionalFormatting>
  <conditionalFormatting sqref="K1:K1048576">
    <cfRule type="iconSet" priority="1">
      <iconSet>
        <cfvo type="percent" val="0"/>
        <cfvo type="num" val="200000"/>
        <cfvo type="num" val="300000"/>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8247046-E794-4263-A7CD-C55BDF689849}">
            <x14:dataBar minLength="0" maxLength="100" border="1" negativeBarBorderColorSameAsPositive="0">
              <x14:cfvo type="autoMin"/>
              <x14:cfvo type="autoMax"/>
              <x14:borderColor rgb="FF638EC6"/>
              <x14:negativeFillColor rgb="FFFF0000"/>
              <x14:negativeBorderColor rgb="FFFF0000"/>
              <x14:axisColor rgb="FF000000"/>
            </x14:dataBar>
          </x14:cfRule>
          <xm:sqref>M1:M1048576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6"/>
  <sheetViews>
    <sheetView tabSelected="1" zoomScale="73" workbookViewId="0">
      <selection activeCell="H16" sqref="H16"/>
    </sheetView>
  </sheetViews>
  <sheetFormatPr defaultRowHeight="14.5" x14ac:dyDescent="0.35"/>
  <cols>
    <col min="1" max="2" width="11.08984375" customWidth="1"/>
    <col min="4" max="4" width="17" customWidth="1"/>
    <col min="5" max="5" width="18.453125" customWidth="1"/>
    <col min="6" max="6" width="9.36328125" customWidth="1"/>
    <col min="7" max="7" width="15.6328125" customWidth="1"/>
    <col min="8" max="8" width="14.7265625" customWidth="1"/>
    <col min="9" max="9" width="13.81640625" customWidth="1"/>
    <col min="10" max="10" width="14.36328125" customWidth="1"/>
    <col min="11" max="11" width="15.81640625" customWidth="1"/>
    <col min="16" max="16" width="20.54296875" customWidth="1"/>
    <col min="17" max="17" width="17.1796875" customWidth="1"/>
    <col min="21" max="21" width="19.1796875" customWidth="1"/>
    <col min="26" max="26" width="14.1796875" customWidth="1"/>
    <col min="28" max="28" width="19.1796875" customWidth="1"/>
    <col min="31" max="31" width="10.08984375" bestFit="1" customWidth="1"/>
    <col min="32" max="32" width="15.1796875" bestFit="1" customWidth="1"/>
    <col min="34" max="34" width="13.54296875" customWidth="1"/>
    <col min="35" max="36" width="12.1796875" customWidth="1"/>
    <col min="37" max="37" width="16.54296875" customWidth="1"/>
    <col min="41" max="41" width="17.36328125" customWidth="1"/>
  </cols>
  <sheetData>
    <row r="1" spans="1:41" x14ac:dyDescent="0.35">
      <c r="A1" t="s">
        <v>0</v>
      </c>
      <c r="B1" t="s">
        <v>1</v>
      </c>
      <c r="C1" t="s">
        <v>2</v>
      </c>
      <c r="D1" t="s">
        <v>3</v>
      </c>
      <c r="E1" t="s">
        <v>4</v>
      </c>
      <c r="F1" t="s">
        <v>5</v>
      </c>
      <c r="G1" t="s">
        <v>6</v>
      </c>
      <c r="H1" t="s">
        <v>7</v>
      </c>
      <c r="I1" t="s">
        <v>8</v>
      </c>
      <c r="J1" t="s">
        <v>9</v>
      </c>
      <c r="K1" t="s">
        <v>10</v>
      </c>
      <c r="L1" t="s">
        <v>11</v>
      </c>
      <c r="M1" t="s">
        <v>12</v>
      </c>
      <c r="N1" t="s">
        <v>13</v>
      </c>
      <c r="O1" t="s">
        <v>14</v>
      </c>
      <c r="P1" t="s">
        <v>103</v>
      </c>
      <c r="Q1" t="s">
        <v>104</v>
      </c>
      <c r="R1" t="s">
        <v>105</v>
      </c>
      <c r="S1" t="s">
        <v>101</v>
      </c>
      <c r="T1" t="s">
        <v>102</v>
      </c>
      <c r="U1" t="s">
        <v>107</v>
      </c>
      <c r="V1" t="s">
        <v>108</v>
      </c>
      <c r="W1" t="s">
        <v>109</v>
      </c>
      <c r="X1" t="s">
        <v>110</v>
      </c>
      <c r="Y1" t="s">
        <v>111</v>
      </c>
      <c r="Z1" t="s">
        <v>112</v>
      </c>
      <c r="AA1" t="s">
        <v>113</v>
      </c>
      <c r="AB1" t="s">
        <v>114</v>
      </c>
      <c r="AC1" t="s">
        <v>115</v>
      </c>
      <c r="AD1" t="s">
        <v>116</v>
      </c>
      <c r="AE1" t="s">
        <v>117</v>
      </c>
      <c r="AF1" t="s">
        <v>118</v>
      </c>
      <c r="AG1" t="s">
        <v>119</v>
      </c>
      <c r="AH1" t="s">
        <v>120</v>
      </c>
      <c r="AI1" t="s">
        <v>121</v>
      </c>
      <c r="AJ1" t="s">
        <v>139</v>
      </c>
      <c r="AK1" t="s">
        <v>122</v>
      </c>
      <c r="AL1" t="s">
        <v>123</v>
      </c>
      <c r="AM1" t="s">
        <v>124</v>
      </c>
      <c r="AN1" t="s">
        <v>125</v>
      </c>
      <c r="AO1" t="s">
        <v>126</v>
      </c>
    </row>
    <row r="2" spans="1:41" x14ac:dyDescent="0.35">
      <c r="A2">
        <v>1001</v>
      </c>
      <c r="B2" t="s">
        <v>15</v>
      </c>
      <c r="C2" t="s">
        <v>16</v>
      </c>
      <c r="D2" t="s">
        <v>17</v>
      </c>
      <c r="E2" t="s">
        <v>18</v>
      </c>
      <c r="F2" t="s">
        <v>19</v>
      </c>
      <c r="G2" t="s">
        <v>20</v>
      </c>
      <c r="H2">
        <v>15</v>
      </c>
      <c r="I2">
        <v>3000</v>
      </c>
      <c r="J2">
        <v>0.1</v>
      </c>
      <c r="K2">
        <v>40500</v>
      </c>
      <c r="L2">
        <v>30000</v>
      </c>
      <c r="M2">
        <v>10500</v>
      </c>
      <c r="N2" t="s">
        <v>21</v>
      </c>
      <c r="O2" t="s">
        <v>22</v>
      </c>
      <c r="P2" t="str">
        <f>IF(SalesTable[[#This Row],[SalesAmount]]&gt;400000,"high sales","low sales")</f>
        <v>low sales</v>
      </c>
      <c r="Q2" t="b">
        <f>AND(SalesTable[[#This Row],[SalesAmount]]&gt;300000,SalesTable[[#This Row],[PaymentMode]]="Cash")</f>
        <v>0</v>
      </c>
      <c r="R2" t="b">
        <f>OR(SalesTable[[#This Row],[SalesAmount]]&gt;300000,SalesTable[[#This Row],[PaymentMode]]="Cash")</f>
        <v>0</v>
      </c>
      <c r="S2" t="b">
        <f>NOT(SalesTable[[#This Row],[SalesAmount]]&gt;500)</f>
        <v>0</v>
      </c>
      <c r="T2">
        <f>IFERROR(SalesTable[[#This Row],[Profit]]/SalesTable[[#This Row],[SalesAmount]],"no sales")</f>
        <v>0.25925925925925924</v>
      </c>
      <c r="U2" t="str">
        <f>UPPER(SalesTable[[#This Row],[Salesperson]])</f>
        <v>PRIYA</v>
      </c>
      <c r="V2" t="str">
        <f>LOWER(SalesTable[[#This Row],[Salesperson]])</f>
        <v>priya</v>
      </c>
      <c r="W2" t="str">
        <f>LEFT(SalesTable[[#This Row],[uppercase ]],2)</f>
        <v>PR</v>
      </c>
      <c r="X2" t="str">
        <f>RIGHT(SalesTable[[#This Row],[uppercase ]],3)</f>
        <v>IYA</v>
      </c>
      <c r="Y2" t="str">
        <f>MID(SalesTable[[#This Row],[uppercase ]],2,2)</f>
        <v>RI</v>
      </c>
      <c r="Z2" t="str">
        <f>_xlfn.CONCAT(SalesTable[[#This Row],[left fn ]],SalesTable[[#This Row],[right]])</f>
        <v>PRIYA</v>
      </c>
      <c r="AA2">
        <f>LEN(SalesTable[[#This Row],[uppercase ]])</f>
        <v>5</v>
      </c>
      <c r="AB2" t="str">
        <f>TRIM(SalesTable[[#This Row],[Segment]])</f>
        <v>Corporate</v>
      </c>
      <c r="AC2" t="str">
        <f>_xlfn.TEXTJOIN("-",TRUE,SalesTable[[#This Row],[lowercase]],SalesTable[[#This Row],[middle]])</f>
        <v>priya-RI</v>
      </c>
      <c r="AD2">
        <f>FIND(SalesTable[[#This Row],[middle]],SalesTable[[#This Row],[concatenate ]],1)</f>
        <v>2</v>
      </c>
      <c r="AE2" s="1">
        <f t="shared" ref="AE2:AE33" ca="1" si="0">TODAY()</f>
        <v>46087</v>
      </c>
      <c r="AF2" s="2">
        <f t="shared" ref="AF2:AF33" ca="1" si="1">NOW()</f>
        <v>46087.6708125</v>
      </c>
      <c r="AG2">
        <f>DAY(SalesTable[[#This Row],[OrderDate]])</f>
        <v>13</v>
      </c>
      <c r="AH2">
        <f>MONTH(SalesTable[[#This Row],[OrderDate]])</f>
        <v>2</v>
      </c>
      <c r="AI2">
        <f>YEAR(SalesTable[[#This Row],[OrderDate]])</f>
        <v>2025</v>
      </c>
      <c r="AJ2" t="str">
        <f>TEXT(SalesTable[[#This Row],[OrderDate]],"dddd")</f>
        <v>Thursday</v>
      </c>
      <c r="AK2">
        <f>WEEKDAY(SalesTable[[#This Row],[OrderDate]])</f>
        <v>5</v>
      </c>
      <c r="AL2" s="3">
        <f t="shared" ref="AL2:AL33" si="2">TIME(10,30,0)</f>
        <v>0.4375</v>
      </c>
      <c r="AM2">
        <f>HOUR(SalesTable[[#This Row],[time ]])</f>
        <v>10</v>
      </c>
      <c r="AN2">
        <f>MINUTE(SalesTable[[#This Row],[time ]])</f>
        <v>30</v>
      </c>
    </row>
    <row r="3" spans="1:41" x14ac:dyDescent="0.35">
      <c r="A3">
        <v>1002</v>
      </c>
      <c r="B3" t="s">
        <v>23</v>
      </c>
      <c r="C3" t="s">
        <v>24</v>
      </c>
      <c r="D3" t="s">
        <v>25</v>
      </c>
      <c r="E3" t="s">
        <v>26</v>
      </c>
      <c r="F3" t="s">
        <v>27</v>
      </c>
      <c r="G3" t="s">
        <v>28</v>
      </c>
      <c r="H3">
        <v>8</v>
      </c>
      <c r="I3">
        <v>15000</v>
      </c>
      <c r="J3">
        <v>0</v>
      </c>
      <c r="K3">
        <v>120000</v>
      </c>
      <c r="L3">
        <v>96000</v>
      </c>
      <c r="M3">
        <v>24000</v>
      </c>
      <c r="N3" t="s">
        <v>29</v>
      </c>
      <c r="O3" t="s">
        <v>30</v>
      </c>
      <c r="P3" t="str">
        <f>IF(SalesTable[[#This Row],[SalesAmount]]&gt;400000,"high sales","low sales")</f>
        <v>low sales</v>
      </c>
      <c r="Q3" t="b">
        <f>AND(SalesTable[[#This Row],[SalesAmount]]&gt;300000,SalesTable[[#This Row],[PaymentMode]]="Cash")</f>
        <v>0</v>
      </c>
      <c r="R3" t="b">
        <f>OR(SalesTable[[#This Row],[SalesAmount]]&gt;300000,SalesTable[[#This Row],[PaymentMode]]="Cash")</f>
        <v>1</v>
      </c>
      <c r="S3" t="b">
        <f>NOT(SalesTable[[#This Row],[SalesAmount]]&gt;500)</f>
        <v>0</v>
      </c>
      <c r="T3">
        <f>IFERROR(SalesTable[[#This Row],[Profit]]/SalesTable[[#This Row],[SalesAmount]],"no sales")</f>
        <v>0.2</v>
      </c>
      <c r="U3" t="str">
        <f>UPPER(SalesTable[[#This Row],[Salesperson]])</f>
        <v>AMIT</v>
      </c>
      <c r="V3" t="str">
        <f>LOWER(SalesTable[[#This Row],[Salesperson]])</f>
        <v>amit</v>
      </c>
      <c r="W3" t="str">
        <f>LEFT(SalesTable[[#This Row],[uppercase ]],2)</f>
        <v>AM</v>
      </c>
      <c r="X3" t="str">
        <f>RIGHT(SalesTable[[#This Row],[uppercase ]],3)</f>
        <v>MIT</v>
      </c>
      <c r="Y3" t="str">
        <f>MID(SalesTable[[#This Row],[uppercase ]],2,2)</f>
        <v>MI</v>
      </c>
      <c r="Z3" t="str">
        <f>_xlfn.CONCAT(SalesTable[[#This Row],[left fn ]],SalesTable[[#This Row],[right]])</f>
        <v>AMMIT</v>
      </c>
      <c r="AA3">
        <f>LEN(SalesTable[[#This Row],[uppercase ]])</f>
        <v>4</v>
      </c>
      <c r="AB3" t="str">
        <f>TRIM(SalesTable[[#This Row],[Segment]])</f>
        <v>Home Office</v>
      </c>
      <c r="AC3" t="str">
        <f>_xlfn.TEXTJOIN("-",TRUE,SalesTable[[#This Row],[lowercase]],SalesTable[[#This Row],[middle]])</f>
        <v>amit-MI</v>
      </c>
      <c r="AD3">
        <f>FIND(SalesTable[[#This Row],[middle]],SalesTable[[#This Row],[concatenate ]],1)</f>
        <v>3</v>
      </c>
      <c r="AE3" s="1">
        <f t="shared" ca="1" si="0"/>
        <v>46087</v>
      </c>
      <c r="AF3" s="2">
        <f t="shared" ca="1" si="1"/>
        <v>46087.6708125</v>
      </c>
      <c r="AG3">
        <f>DAY(SalesTable[[#This Row],[OrderDate]])</f>
        <v>28</v>
      </c>
      <c r="AH3">
        <f>MONTH(SalesTable[[#This Row],[OrderDate]])</f>
        <v>2</v>
      </c>
      <c r="AI3">
        <f>YEAR(SalesTable[[#This Row],[OrderDate]])</f>
        <v>2025</v>
      </c>
      <c r="AJ3" t="str">
        <f>TEXT(SalesTable[[#This Row],[OrderDate]],"dddd")</f>
        <v>Friday</v>
      </c>
      <c r="AK3">
        <f>WEEKDAY(SalesTable[[#This Row],[OrderDate]])</f>
        <v>6</v>
      </c>
      <c r="AL3" s="3">
        <f t="shared" si="2"/>
        <v>0.4375</v>
      </c>
      <c r="AM3">
        <f>HOUR(SalesTable[[#This Row],[time ]])</f>
        <v>10</v>
      </c>
      <c r="AN3">
        <f>MINUTE(SalesTable[[#This Row],[time ]])</f>
        <v>30</v>
      </c>
    </row>
    <row r="4" spans="1:41" x14ac:dyDescent="0.35">
      <c r="A4">
        <v>1003</v>
      </c>
      <c r="B4" t="s">
        <v>31</v>
      </c>
      <c r="C4" t="s">
        <v>32</v>
      </c>
      <c r="D4" t="s">
        <v>17</v>
      </c>
      <c r="E4" t="s">
        <v>26</v>
      </c>
      <c r="F4" t="s">
        <v>33</v>
      </c>
      <c r="G4" t="s">
        <v>20</v>
      </c>
      <c r="H4">
        <v>19</v>
      </c>
      <c r="I4">
        <v>20000</v>
      </c>
      <c r="J4">
        <v>0.1</v>
      </c>
      <c r="K4">
        <v>342000</v>
      </c>
      <c r="L4">
        <v>285000</v>
      </c>
      <c r="M4">
        <v>57000</v>
      </c>
      <c r="N4" t="s">
        <v>29</v>
      </c>
      <c r="O4" t="s">
        <v>22</v>
      </c>
      <c r="P4" t="str">
        <f>IF(SalesTable[[#This Row],[SalesAmount]]&gt;400000,"high sales","low sales")</f>
        <v>low sales</v>
      </c>
      <c r="Q4" t="b">
        <f>AND(SalesTable[[#This Row],[SalesAmount]]&gt;300000,SalesTable[[#This Row],[PaymentMode]]="Cash")</f>
        <v>1</v>
      </c>
      <c r="R4" t="b">
        <f>OR(SalesTable[[#This Row],[SalesAmount]]&gt;300000,SalesTable[[#This Row],[PaymentMode]]="Cash")</f>
        <v>1</v>
      </c>
      <c r="S4" t="b">
        <f>NOT(SalesTable[[#This Row],[SalesAmount]]&gt;500)</f>
        <v>0</v>
      </c>
      <c r="T4">
        <f>IFERROR(SalesTable[[#This Row],[Profit]]/SalesTable[[#This Row],[SalesAmount]],"no sales")</f>
        <v>0.16666666666666666</v>
      </c>
      <c r="U4" t="str">
        <f>UPPER(SalesTable[[#This Row],[Salesperson]])</f>
        <v>PRIYA</v>
      </c>
      <c r="V4" t="str">
        <f>LOWER(SalesTable[[#This Row],[Salesperson]])</f>
        <v>priya</v>
      </c>
      <c r="W4" t="str">
        <f>LEFT(SalesTable[[#This Row],[uppercase ]],2)</f>
        <v>PR</v>
      </c>
      <c r="X4" t="str">
        <f>RIGHT(SalesTable[[#This Row],[uppercase ]],3)</f>
        <v>IYA</v>
      </c>
      <c r="Y4" t="str">
        <f>MID(SalesTable[[#This Row],[uppercase ]],2,2)</f>
        <v>RI</v>
      </c>
      <c r="Z4" t="str">
        <f>_xlfn.CONCAT(SalesTable[[#This Row],[left fn ]],SalesTable[[#This Row],[right]])</f>
        <v>PRIYA</v>
      </c>
      <c r="AA4">
        <f>LEN(SalesTable[[#This Row],[uppercase ]])</f>
        <v>5</v>
      </c>
      <c r="AB4" t="str">
        <f>TRIM(SalesTable[[#This Row],[Segment]])</f>
        <v>Corporate</v>
      </c>
      <c r="AC4" t="str">
        <f>_xlfn.TEXTJOIN("-",TRUE,SalesTable[[#This Row],[lowercase]],SalesTable[[#This Row],[middle]])</f>
        <v>priya-RI</v>
      </c>
      <c r="AD4">
        <f>FIND(SalesTable[[#This Row],[middle]],SalesTable[[#This Row],[concatenate ]],1)</f>
        <v>2</v>
      </c>
      <c r="AE4" s="1">
        <f t="shared" ca="1" si="0"/>
        <v>46087</v>
      </c>
      <c r="AF4" s="2">
        <f t="shared" ca="1" si="1"/>
        <v>46087.6708125</v>
      </c>
      <c r="AG4">
        <f>DAY(SalesTable[[#This Row],[OrderDate]])</f>
        <v>23</v>
      </c>
      <c r="AH4">
        <f>MONTH(SalesTable[[#This Row],[OrderDate]])</f>
        <v>2</v>
      </c>
      <c r="AI4">
        <f>YEAR(SalesTable[[#This Row],[OrderDate]])</f>
        <v>2025</v>
      </c>
      <c r="AJ4" t="str">
        <f>TEXT(SalesTable[[#This Row],[OrderDate]],"dddd")</f>
        <v>Sunday</v>
      </c>
      <c r="AK4">
        <f>WEEKDAY(SalesTable[[#This Row],[OrderDate]])</f>
        <v>1</v>
      </c>
      <c r="AL4" s="3">
        <f t="shared" si="2"/>
        <v>0.4375</v>
      </c>
      <c r="AM4">
        <f>HOUR(SalesTable[[#This Row],[time ]])</f>
        <v>10</v>
      </c>
      <c r="AN4">
        <f>MINUTE(SalesTable[[#This Row],[time ]])</f>
        <v>30</v>
      </c>
    </row>
    <row r="5" spans="1:41" x14ac:dyDescent="0.35">
      <c r="A5">
        <v>1004</v>
      </c>
      <c r="B5" t="s">
        <v>34</v>
      </c>
      <c r="C5" t="s">
        <v>35</v>
      </c>
      <c r="D5" t="s">
        <v>25</v>
      </c>
      <c r="E5" t="s">
        <v>18</v>
      </c>
      <c r="F5" t="s">
        <v>36</v>
      </c>
      <c r="G5" t="s">
        <v>20</v>
      </c>
      <c r="H5">
        <v>19</v>
      </c>
      <c r="I5">
        <v>25000</v>
      </c>
      <c r="J5">
        <v>0.15</v>
      </c>
      <c r="K5">
        <v>403750</v>
      </c>
      <c r="L5">
        <v>342000</v>
      </c>
      <c r="M5">
        <v>61750</v>
      </c>
      <c r="N5" t="s">
        <v>21</v>
      </c>
      <c r="O5" t="s">
        <v>22</v>
      </c>
      <c r="P5" t="str">
        <f>IF(SalesTable[[#This Row],[SalesAmount]]&gt;400000,"high sales","low sales")</f>
        <v>high sales</v>
      </c>
      <c r="Q5" t="b">
        <f>AND(SalesTable[[#This Row],[SalesAmount]]&gt;300000,SalesTable[[#This Row],[PaymentMode]]="Cash")</f>
        <v>0</v>
      </c>
      <c r="R5" t="b">
        <f>OR(SalesTable[[#This Row],[SalesAmount]]&gt;300000,SalesTable[[#This Row],[PaymentMode]]="Cash")</f>
        <v>1</v>
      </c>
      <c r="S5" t="b">
        <f>NOT(SalesTable[[#This Row],[SalesAmount]]&gt;500)</f>
        <v>0</v>
      </c>
      <c r="T5">
        <f>IFERROR(SalesTable[[#This Row],[Profit]]/SalesTable[[#This Row],[SalesAmount]],"no sales")</f>
        <v>0.15294117647058825</v>
      </c>
      <c r="U5" t="str">
        <f>UPPER(SalesTable[[#This Row],[Salesperson]])</f>
        <v>AMIT</v>
      </c>
      <c r="V5" t="str">
        <f>LOWER(SalesTable[[#This Row],[Salesperson]])</f>
        <v>amit</v>
      </c>
      <c r="W5" t="str">
        <f>LEFT(SalesTable[[#This Row],[uppercase ]],2)</f>
        <v>AM</v>
      </c>
      <c r="X5" t="str">
        <f>RIGHT(SalesTable[[#This Row],[uppercase ]],3)</f>
        <v>MIT</v>
      </c>
      <c r="Y5" t="str">
        <f>MID(SalesTable[[#This Row],[uppercase ]],2,2)</f>
        <v>MI</v>
      </c>
      <c r="Z5" t="str">
        <f>_xlfn.CONCAT(SalesTable[[#This Row],[left fn ]],SalesTable[[#This Row],[right]])</f>
        <v>AMMIT</v>
      </c>
      <c r="AA5">
        <f>LEN(SalesTable[[#This Row],[uppercase ]])</f>
        <v>4</v>
      </c>
      <c r="AB5" t="str">
        <f>TRIM(SalesTable[[#This Row],[Segment]])</f>
        <v>Corporate</v>
      </c>
      <c r="AC5" t="str">
        <f>_xlfn.TEXTJOIN("-",TRUE,SalesTable[[#This Row],[lowercase]],SalesTable[[#This Row],[middle]])</f>
        <v>amit-MI</v>
      </c>
      <c r="AD5">
        <f>FIND(SalesTable[[#This Row],[middle]],SalesTable[[#This Row],[concatenate ]],1)</f>
        <v>3</v>
      </c>
      <c r="AE5" s="1">
        <f t="shared" ca="1" si="0"/>
        <v>46087</v>
      </c>
      <c r="AF5" s="2">
        <f t="shared" ca="1" si="1"/>
        <v>46087.6708125</v>
      </c>
      <c r="AG5">
        <f>DAY(SalesTable[[#This Row],[OrderDate]])</f>
        <v>10</v>
      </c>
      <c r="AH5">
        <f>MONTH(SalesTable[[#This Row],[OrderDate]])</f>
        <v>2</v>
      </c>
      <c r="AI5">
        <f>YEAR(SalesTable[[#This Row],[OrderDate]])</f>
        <v>2025</v>
      </c>
      <c r="AJ5" t="str">
        <f>TEXT(SalesTable[[#This Row],[OrderDate]],"dddd")</f>
        <v>Monday</v>
      </c>
      <c r="AK5">
        <f>WEEKDAY(SalesTable[[#This Row],[OrderDate]])</f>
        <v>2</v>
      </c>
      <c r="AL5" s="3">
        <f t="shared" si="2"/>
        <v>0.4375</v>
      </c>
      <c r="AM5">
        <f>HOUR(SalesTable[[#This Row],[time ]])</f>
        <v>10</v>
      </c>
      <c r="AN5">
        <f>MINUTE(SalesTable[[#This Row],[time ]])</f>
        <v>30</v>
      </c>
    </row>
    <row r="6" spans="1:41" x14ac:dyDescent="0.35">
      <c r="A6">
        <v>1005</v>
      </c>
      <c r="B6" t="s">
        <v>37</v>
      </c>
      <c r="C6" t="s">
        <v>16</v>
      </c>
      <c r="D6" t="s">
        <v>17</v>
      </c>
      <c r="E6" t="s">
        <v>18</v>
      </c>
      <c r="F6" t="s">
        <v>38</v>
      </c>
      <c r="G6" t="s">
        <v>28</v>
      </c>
      <c r="H6">
        <v>2</v>
      </c>
      <c r="I6">
        <v>35000</v>
      </c>
      <c r="J6">
        <v>0.1</v>
      </c>
      <c r="K6">
        <v>63000</v>
      </c>
      <c r="L6">
        <v>50000</v>
      </c>
      <c r="M6">
        <v>13000</v>
      </c>
      <c r="N6" t="s">
        <v>39</v>
      </c>
      <c r="O6" t="s">
        <v>40</v>
      </c>
      <c r="P6" t="str">
        <f>IF(SalesTable[[#This Row],[SalesAmount]]&gt;400000,"high sales","low sales")</f>
        <v>low sales</v>
      </c>
      <c r="Q6" t="b">
        <f>AND(SalesTable[[#This Row],[SalesAmount]]&gt;300000,SalesTable[[#This Row],[PaymentMode]]="Cash")</f>
        <v>0</v>
      </c>
      <c r="R6" t="b">
        <f>OR(SalesTable[[#This Row],[SalesAmount]]&gt;300000,SalesTable[[#This Row],[PaymentMode]]="Cash")</f>
        <v>0</v>
      </c>
      <c r="S6" t="b">
        <f>NOT(SalesTable[[#This Row],[SalesAmount]]&gt;500)</f>
        <v>0</v>
      </c>
      <c r="T6">
        <f>IFERROR(SalesTable[[#This Row],[Profit]]/SalesTable[[#This Row],[SalesAmount]],"no sales")</f>
        <v>0.20634920634920634</v>
      </c>
      <c r="U6" t="str">
        <f>UPPER(SalesTable[[#This Row],[Salesperson]])</f>
        <v>PRIYA</v>
      </c>
      <c r="V6" t="str">
        <f>LOWER(SalesTable[[#This Row],[Salesperson]])</f>
        <v>priya</v>
      </c>
      <c r="W6" t="str">
        <f>LEFT(SalesTable[[#This Row],[uppercase ]],2)</f>
        <v>PR</v>
      </c>
      <c r="X6" t="str">
        <f>RIGHT(SalesTable[[#This Row],[uppercase ]],3)</f>
        <v>IYA</v>
      </c>
      <c r="Y6" t="str">
        <f>MID(SalesTable[[#This Row],[uppercase ]],2,2)</f>
        <v>RI</v>
      </c>
      <c r="Z6" t="str">
        <f>_xlfn.CONCAT(SalesTable[[#This Row],[left fn ]],SalesTable[[#This Row],[right]])</f>
        <v>PRIYA</v>
      </c>
      <c r="AA6">
        <f>LEN(SalesTable[[#This Row],[uppercase ]])</f>
        <v>5</v>
      </c>
      <c r="AB6" t="str">
        <f>TRIM(SalesTable[[#This Row],[Segment]])</f>
        <v>Home Office</v>
      </c>
      <c r="AC6" t="str">
        <f>_xlfn.TEXTJOIN("-",TRUE,SalesTable[[#This Row],[lowercase]],SalesTable[[#This Row],[middle]])</f>
        <v>priya-RI</v>
      </c>
      <c r="AD6">
        <f>FIND(SalesTable[[#This Row],[middle]],SalesTable[[#This Row],[concatenate ]],1)</f>
        <v>2</v>
      </c>
      <c r="AE6" s="1">
        <f t="shared" ca="1" si="0"/>
        <v>46087</v>
      </c>
      <c r="AF6" s="2">
        <f t="shared" ca="1" si="1"/>
        <v>46087.6708125</v>
      </c>
      <c r="AG6">
        <f>DAY(SalesTable[[#This Row],[OrderDate]])</f>
        <v>1</v>
      </c>
      <c r="AH6">
        <f>MONTH(SalesTable[[#This Row],[OrderDate]])</f>
        <v>3</v>
      </c>
      <c r="AI6">
        <f>YEAR(SalesTable[[#This Row],[OrderDate]])</f>
        <v>2025</v>
      </c>
      <c r="AJ6" t="str">
        <f>TEXT(SalesTable[[#This Row],[OrderDate]],"dddd")</f>
        <v>Saturday</v>
      </c>
      <c r="AK6">
        <f>WEEKDAY(SalesTable[[#This Row],[OrderDate]])</f>
        <v>7</v>
      </c>
      <c r="AL6" s="3">
        <f t="shared" si="2"/>
        <v>0.4375</v>
      </c>
      <c r="AM6">
        <f>HOUR(SalesTable[[#This Row],[time ]])</f>
        <v>10</v>
      </c>
      <c r="AN6">
        <f>MINUTE(SalesTable[[#This Row],[time ]])</f>
        <v>30</v>
      </c>
    </row>
    <row r="7" spans="1:41" x14ac:dyDescent="0.35">
      <c r="A7">
        <v>1006</v>
      </c>
      <c r="B7" t="s">
        <v>41</v>
      </c>
      <c r="C7" t="s">
        <v>32</v>
      </c>
      <c r="D7" t="s">
        <v>42</v>
      </c>
      <c r="E7" t="s">
        <v>18</v>
      </c>
      <c r="F7" t="s">
        <v>43</v>
      </c>
      <c r="G7" t="s">
        <v>28</v>
      </c>
      <c r="H7">
        <v>8</v>
      </c>
      <c r="I7">
        <v>12000</v>
      </c>
      <c r="J7">
        <v>0.02</v>
      </c>
      <c r="K7">
        <v>94080</v>
      </c>
      <c r="L7">
        <v>64000</v>
      </c>
      <c r="M7">
        <v>30080</v>
      </c>
      <c r="N7" t="s">
        <v>44</v>
      </c>
      <c r="O7" t="s">
        <v>30</v>
      </c>
      <c r="P7" t="str">
        <f>IF(SalesTable[[#This Row],[SalesAmount]]&gt;400000,"high sales","low sales")</f>
        <v>low sales</v>
      </c>
      <c r="Q7" t="b">
        <f>AND(SalesTable[[#This Row],[SalesAmount]]&gt;300000,SalesTable[[#This Row],[PaymentMode]]="Cash")</f>
        <v>0</v>
      </c>
      <c r="R7" t="b">
        <f>OR(SalesTable[[#This Row],[SalesAmount]]&gt;300000,SalesTable[[#This Row],[PaymentMode]]="Cash")</f>
        <v>0</v>
      </c>
      <c r="S7" t="b">
        <f>NOT(SalesTable[[#This Row],[SalesAmount]]&gt;500)</f>
        <v>0</v>
      </c>
      <c r="T7">
        <f>IFERROR(SalesTable[[#This Row],[Profit]]/SalesTable[[#This Row],[SalesAmount]],"no sales")</f>
        <v>0.31972789115646261</v>
      </c>
      <c r="U7" t="str">
        <f>UPPER(SalesTable[[#This Row],[Salesperson]])</f>
        <v>SNEHA</v>
      </c>
      <c r="V7" t="str">
        <f>LOWER(SalesTable[[#This Row],[Salesperson]])</f>
        <v>sneha</v>
      </c>
      <c r="W7" t="str">
        <f>LEFT(SalesTable[[#This Row],[uppercase ]],2)</f>
        <v>SN</v>
      </c>
      <c r="X7" t="str">
        <f>RIGHT(SalesTable[[#This Row],[uppercase ]],3)</f>
        <v>EHA</v>
      </c>
      <c r="Y7" t="str">
        <f>MID(SalesTable[[#This Row],[uppercase ]],2,2)</f>
        <v>NE</v>
      </c>
      <c r="Z7" t="str">
        <f>_xlfn.CONCAT(SalesTable[[#This Row],[left fn ]],SalesTable[[#This Row],[right]])</f>
        <v>SNEHA</v>
      </c>
      <c r="AA7">
        <f>LEN(SalesTable[[#This Row],[uppercase ]])</f>
        <v>5</v>
      </c>
      <c r="AB7" t="str">
        <f>TRIM(SalesTable[[#This Row],[Segment]])</f>
        <v>Home Office</v>
      </c>
      <c r="AC7" t="str">
        <f>_xlfn.TEXTJOIN("-",TRUE,SalesTable[[#This Row],[lowercase]],SalesTable[[#This Row],[middle]])</f>
        <v>sneha-NE</v>
      </c>
      <c r="AD7">
        <f>FIND(SalesTable[[#This Row],[middle]],SalesTable[[#This Row],[concatenate ]],1)</f>
        <v>2</v>
      </c>
      <c r="AE7" s="1">
        <f t="shared" ca="1" si="0"/>
        <v>46087</v>
      </c>
      <c r="AF7" s="2">
        <f t="shared" ca="1" si="1"/>
        <v>46087.6708125</v>
      </c>
      <c r="AG7">
        <f>DAY(SalesTable[[#This Row],[OrderDate]])</f>
        <v>22</v>
      </c>
      <c r="AH7">
        <f>MONTH(SalesTable[[#This Row],[OrderDate]])</f>
        <v>1</v>
      </c>
      <c r="AI7">
        <f>YEAR(SalesTable[[#This Row],[OrderDate]])</f>
        <v>2025</v>
      </c>
      <c r="AJ7" t="str">
        <f>TEXT(SalesTable[[#This Row],[OrderDate]],"dddd")</f>
        <v>Wednesday</v>
      </c>
      <c r="AK7">
        <f>WEEKDAY(SalesTable[[#This Row],[OrderDate]])</f>
        <v>4</v>
      </c>
      <c r="AL7" s="3">
        <f t="shared" si="2"/>
        <v>0.4375</v>
      </c>
      <c r="AM7">
        <f>HOUR(SalesTable[[#This Row],[time ]])</f>
        <v>10</v>
      </c>
      <c r="AN7">
        <f>MINUTE(SalesTable[[#This Row],[time ]])</f>
        <v>30</v>
      </c>
    </row>
    <row r="8" spans="1:41" x14ac:dyDescent="0.35">
      <c r="A8">
        <v>1007</v>
      </c>
      <c r="B8" t="s">
        <v>45</v>
      </c>
      <c r="C8" t="s">
        <v>32</v>
      </c>
      <c r="D8" t="s">
        <v>42</v>
      </c>
      <c r="E8" t="s">
        <v>46</v>
      </c>
      <c r="F8" t="s">
        <v>47</v>
      </c>
      <c r="G8" t="s">
        <v>20</v>
      </c>
      <c r="H8">
        <v>5</v>
      </c>
      <c r="I8">
        <v>100</v>
      </c>
      <c r="J8">
        <v>0</v>
      </c>
      <c r="K8">
        <v>500</v>
      </c>
      <c r="L8">
        <v>250</v>
      </c>
      <c r="M8">
        <v>250</v>
      </c>
      <c r="N8" t="s">
        <v>29</v>
      </c>
      <c r="O8" t="s">
        <v>22</v>
      </c>
      <c r="P8" t="str">
        <f>IF(SalesTable[[#This Row],[SalesAmount]]&gt;400000,"high sales","low sales")</f>
        <v>low sales</v>
      </c>
      <c r="Q8" t="b">
        <f>AND(SalesTable[[#This Row],[SalesAmount]]&gt;300000,SalesTable[[#This Row],[PaymentMode]]="Cash")</f>
        <v>0</v>
      </c>
      <c r="R8" t="b">
        <f>OR(SalesTable[[#This Row],[SalesAmount]]&gt;300000,SalesTable[[#This Row],[PaymentMode]]="Cash")</f>
        <v>1</v>
      </c>
      <c r="S8" t="b">
        <f>NOT(SalesTable[[#This Row],[SalesAmount]]&gt;500)</f>
        <v>1</v>
      </c>
      <c r="T8">
        <f>IFERROR(SalesTable[[#This Row],[Profit]]/SalesTable[[#This Row],[SalesAmount]],"no sales")</f>
        <v>0.5</v>
      </c>
      <c r="U8" t="str">
        <f>UPPER(SalesTable[[#This Row],[Salesperson]])</f>
        <v>SNEHA</v>
      </c>
      <c r="V8" t="str">
        <f>LOWER(SalesTable[[#This Row],[Salesperson]])</f>
        <v>sneha</v>
      </c>
      <c r="W8" t="str">
        <f>LEFT(SalesTable[[#This Row],[uppercase ]],2)</f>
        <v>SN</v>
      </c>
      <c r="X8" t="str">
        <f>RIGHT(SalesTable[[#This Row],[uppercase ]],3)</f>
        <v>EHA</v>
      </c>
      <c r="Y8" t="str">
        <f>MID(SalesTable[[#This Row],[uppercase ]],2,2)</f>
        <v>NE</v>
      </c>
      <c r="Z8" t="str">
        <f>_xlfn.CONCAT(SalesTable[[#This Row],[left fn ]],SalesTable[[#This Row],[right]])</f>
        <v>SNEHA</v>
      </c>
      <c r="AA8">
        <f>LEN(SalesTable[[#This Row],[uppercase ]])</f>
        <v>5</v>
      </c>
      <c r="AB8" t="str">
        <f>TRIM(SalesTable[[#This Row],[Segment]])</f>
        <v>Corporate</v>
      </c>
      <c r="AC8" t="str">
        <f>_xlfn.TEXTJOIN("-",TRUE,SalesTable[[#This Row],[lowercase]],SalesTable[[#This Row],[middle]])</f>
        <v>sneha-NE</v>
      </c>
      <c r="AD8">
        <f>FIND(SalesTable[[#This Row],[middle]],SalesTable[[#This Row],[concatenate ]],1)</f>
        <v>2</v>
      </c>
      <c r="AE8" s="1">
        <f t="shared" ca="1" si="0"/>
        <v>46087</v>
      </c>
      <c r="AF8" s="2">
        <f t="shared" ca="1" si="1"/>
        <v>46087.6708125</v>
      </c>
      <c r="AG8">
        <f>DAY(SalesTable[[#This Row],[OrderDate]])</f>
        <v>18</v>
      </c>
      <c r="AH8">
        <f>MONTH(SalesTable[[#This Row],[OrderDate]])</f>
        <v>1</v>
      </c>
      <c r="AI8">
        <f>YEAR(SalesTable[[#This Row],[OrderDate]])</f>
        <v>2025</v>
      </c>
      <c r="AJ8" t="str">
        <f>TEXT(SalesTable[[#This Row],[OrderDate]],"dddd")</f>
        <v>Saturday</v>
      </c>
      <c r="AK8">
        <f>WEEKDAY(SalesTable[[#This Row],[OrderDate]])</f>
        <v>7</v>
      </c>
      <c r="AL8" s="3">
        <f t="shared" si="2"/>
        <v>0.4375</v>
      </c>
      <c r="AM8">
        <f>HOUR(SalesTable[[#This Row],[time ]])</f>
        <v>10</v>
      </c>
      <c r="AN8">
        <f>MINUTE(SalesTable[[#This Row],[time ]])</f>
        <v>30</v>
      </c>
    </row>
    <row r="9" spans="1:41" x14ac:dyDescent="0.35">
      <c r="A9">
        <v>1008</v>
      </c>
      <c r="B9" t="s">
        <v>48</v>
      </c>
      <c r="C9" t="s">
        <v>32</v>
      </c>
      <c r="D9" t="s">
        <v>17</v>
      </c>
      <c r="E9" t="s">
        <v>46</v>
      </c>
      <c r="F9" t="s">
        <v>49</v>
      </c>
      <c r="G9" t="s">
        <v>20</v>
      </c>
      <c r="H9">
        <v>10</v>
      </c>
      <c r="I9">
        <v>500</v>
      </c>
      <c r="J9">
        <v>0.1</v>
      </c>
      <c r="K9">
        <v>4500</v>
      </c>
      <c r="L9">
        <v>3500</v>
      </c>
      <c r="M9">
        <v>1000</v>
      </c>
      <c r="N9" t="s">
        <v>44</v>
      </c>
      <c r="O9" t="s">
        <v>22</v>
      </c>
      <c r="P9" t="str">
        <f>IF(SalesTable[[#This Row],[SalesAmount]]&gt;400000,"high sales","low sales")</f>
        <v>low sales</v>
      </c>
      <c r="Q9" t="b">
        <f>AND(SalesTable[[#This Row],[SalesAmount]]&gt;300000,SalesTable[[#This Row],[PaymentMode]]="Cash")</f>
        <v>0</v>
      </c>
      <c r="R9" t="b">
        <f>OR(SalesTable[[#This Row],[SalesAmount]]&gt;300000,SalesTable[[#This Row],[PaymentMode]]="Cash")</f>
        <v>0</v>
      </c>
      <c r="S9" t="b">
        <f>NOT(SalesTable[[#This Row],[SalesAmount]]&gt;500)</f>
        <v>0</v>
      </c>
      <c r="T9">
        <f>IFERROR(SalesTable[[#This Row],[Profit]]/SalesTable[[#This Row],[SalesAmount]],"no sales")</f>
        <v>0.22222222222222221</v>
      </c>
      <c r="U9" t="str">
        <f>UPPER(SalesTable[[#This Row],[Salesperson]])</f>
        <v>PRIYA</v>
      </c>
      <c r="V9" t="str">
        <f>LOWER(SalesTable[[#This Row],[Salesperson]])</f>
        <v>priya</v>
      </c>
      <c r="W9" t="str">
        <f>LEFT(SalesTable[[#This Row],[uppercase ]],2)</f>
        <v>PR</v>
      </c>
      <c r="X9" t="str">
        <f>RIGHT(SalesTable[[#This Row],[uppercase ]],3)</f>
        <v>IYA</v>
      </c>
      <c r="Y9" t="str">
        <f>MID(SalesTable[[#This Row],[uppercase ]],2,2)</f>
        <v>RI</v>
      </c>
      <c r="Z9" t="str">
        <f>_xlfn.CONCAT(SalesTable[[#This Row],[left fn ]],SalesTable[[#This Row],[right]])</f>
        <v>PRIYA</v>
      </c>
      <c r="AA9">
        <f>LEN(SalesTable[[#This Row],[uppercase ]])</f>
        <v>5</v>
      </c>
      <c r="AB9" t="str">
        <f>TRIM(SalesTable[[#This Row],[Segment]])</f>
        <v>Corporate</v>
      </c>
      <c r="AC9" t="str">
        <f>_xlfn.TEXTJOIN("-",TRUE,SalesTable[[#This Row],[lowercase]],SalesTable[[#This Row],[middle]])</f>
        <v>priya-RI</v>
      </c>
      <c r="AD9">
        <f>FIND(SalesTable[[#This Row],[middle]],SalesTable[[#This Row],[concatenate ]],1)</f>
        <v>2</v>
      </c>
      <c r="AE9" s="1">
        <f t="shared" ca="1" si="0"/>
        <v>46087</v>
      </c>
      <c r="AF9" s="2">
        <f t="shared" ca="1" si="1"/>
        <v>46087.6708125</v>
      </c>
      <c r="AG9">
        <f>DAY(SalesTable[[#This Row],[OrderDate]])</f>
        <v>3</v>
      </c>
      <c r="AH9">
        <f>MONTH(SalesTable[[#This Row],[OrderDate]])</f>
        <v>1</v>
      </c>
      <c r="AI9">
        <f>YEAR(SalesTable[[#This Row],[OrderDate]])</f>
        <v>2025</v>
      </c>
      <c r="AJ9" t="str">
        <f>TEXT(SalesTable[[#This Row],[OrderDate]],"dddd")</f>
        <v>Friday</v>
      </c>
      <c r="AK9">
        <f>WEEKDAY(SalesTable[[#This Row],[OrderDate]])</f>
        <v>6</v>
      </c>
      <c r="AL9" s="3">
        <f t="shared" si="2"/>
        <v>0.4375</v>
      </c>
      <c r="AM9">
        <f>HOUR(SalesTable[[#This Row],[time ]])</f>
        <v>10</v>
      </c>
      <c r="AN9">
        <f>MINUTE(SalesTable[[#This Row],[time ]])</f>
        <v>30</v>
      </c>
    </row>
    <row r="10" spans="1:41" x14ac:dyDescent="0.35">
      <c r="A10">
        <v>1009</v>
      </c>
      <c r="B10" t="s">
        <v>15</v>
      </c>
      <c r="C10" t="s">
        <v>16</v>
      </c>
      <c r="D10" t="s">
        <v>17</v>
      </c>
      <c r="E10" t="s">
        <v>26</v>
      </c>
      <c r="F10" t="s">
        <v>50</v>
      </c>
      <c r="G10" t="s">
        <v>28</v>
      </c>
      <c r="H10">
        <v>4</v>
      </c>
      <c r="I10">
        <v>55000</v>
      </c>
      <c r="J10">
        <v>0.05</v>
      </c>
      <c r="K10">
        <v>209000</v>
      </c>
      <c r="L10">
        <v>200000</v>
      </c>
      <c r="M10">
        <v>9000</v>
      </c>
      <c r="N10" t="s">
        <v>29</v>
      </c>
      <c r="O10" t="s">
        <v>30</v>
      </c>
      <c r="P10" t="str">
        <f>IF(SalesTable[[#This Row],[SalesAmount]]&gt;400000,"high sales","low sales")</f>
        <v>low sales</v>
      </c>
      <c r="Q10" t="b">
        <f>AND(SalesTable[[#This Row],[SalesAmount]]&gt;300000,SalesTable[[#This Row],[PaymentMode]]="Cash")</f>
        <v>0</v>
      </c>
      <c r="R10" t="b">
        <f>OR(SalesTable[[#This Row],[SalesAmount]]&gt;300000,SalesTable[[#This Row],[PaymentMode]]="Cash")</f>
        <v>1</v>
      </c>
      <c r="S10" t="b">
        <f>NOT(SalesTable[[#This Row],[SalesAmount]]&gt;500)</f>
        <v>0</v>
      </c>
      <c r="T10">
        <f>IFERROR(SalesTable[[#This Row],[Profit]]/SalesTable[[#This Row],[SalesAmount]],"no sales")</f>
        <v>4.3062200956937802E-2</v>
      </c>
      <c r="U10" t="str">
        <f>UPPER(SalesTable[[#This Row],[Salesperson]])</f>
        <v>PRIYA</v>
      </c>
      <c r="V10" t="str">
        <f>LOWER(SalesTable[[#This Row],[Salesperson]])</f>
        <v>priya</v>
      </c>
      <c r="W10" t="str">
        <f>LEFT(SalesTable[[#This Row],[uppercase ]],2)</f>
        <v>PR</v>
      </c>
      <c r="X10" t="str">
        <f>RIGHT(SalesTable[[#This Row],[uppercase ]],3)</f>
        <v>IYA</v>
      </c>
      <c r="Y10" t="str">
        <f>MID(SalesTable[[#This Row],[uppercase ]],2,2)</f>
        <v>RI</v>
      </c>
      <c r="Z10" t="str">
        <f>_xlfn.CONCAT(SalesTable[[#This Row],[left fn ]],SalesTable[[#This Row],[right]])</f>
        <v>PRIYA</v>
      </c>
      <c r="AA10">
        <f>LEN(SalesTable[[#This Row],[uppercase ]])</f>
        <v>5</v>
      </c>
      <c r="AB10" t="str">
        <f>TRIM(SalesTable[[#This Row],[Segment]])</f>
        <v>Home Office</v>
      </c>
      <c r="AC10" t="str">
        <f>_xlfn.TEXTJOIN("-",TRUE,SalesTable[[#This Row],[lowercase]],SalesTable[[#This Row],[middle]])</f>
        <v>priya-RI</v>
      </c>
      <c r="AD10">
        <f>FIND(SalesTable[[#This Row],[middle]],SalesTable[[#This Row],[concatenate ]],1)</f>
        <v>2</v>
      </c>
      <c r="AE10" s="1">
        <f t="shared" ca="1" si="0"/>
        <v>46087</v>
      </c>
      <c r="AF10" s="2">
        <f t="shared" ca="1" si="1"/>
        <v>46087.6708125</v>
      </c>
      <c r="AG10">
        <f>DAY(SalesTable[[#This Row],[OrderDate]])</f>
        <v>13</v>
      </c>
      <c r="AH10">
        <f>MONTH(SalesTable[[#This Row],[OrderDate]])</f>
        <v>2</v>
      </c>
      <c r="AI10">
        <f>YEAR(SalesTable[[#This Row],[OrderDate]])</f>
        <v>2025</v>
      </c>
      <c r="AJ10" t="str">
        <f>TEXT(SalesTable[[#This Row],[OrderDate]],"dddd")</f>
        <v>Thursday</v>
      </c>
      <c r="AK10">
        <f>WEEKDAY(SalesTable[[#This Row],[OrderDate]])</f>
        <v>5</v>
      </c>
      <c r="AL10" s="3">
        <f t="shared" si="2"/>
        <v>0.4375</v>
      </c>
      <c r="AM10">
        <f>HOUR(SalesTable[[#This Row],[time ]])</f>
        <v>10</v>
      </c>
      <c r="AN10">
        <f>MINUTE(SalesTable[[#This Row],[time ]])</f>
        <v>30</v>
      </c>
    </row>
    <row r="11" spans="1:41" x14ac:dyDescent="0.35">
      <c r="A11">
        <v>1010</v>
      </c>
      <c r="B11" t="s">
        <v>51</v>
      </c>
      <c r="C11" t="s">
        <v>35</v>
      </c>
      <c r="D11" t="s">
        <v>17</v>
      </c>
      <c r="E11" t="s">
        <v>26</v>
      </c>
      <c r="F11" t="s">
        <v>27</v>
      </c>
      <c r="G11" t="s">
        <v>52</v>
      </c>
      <c r="H11">
        <v>3</v>
      </c>
      <c r="I11">
        <v>15000</v>
      </c>
      <c r="J11">
        <v>0.02</v>
      </c>
      <c r="K11">
        <v>44100</v>
      </c>
      <c r="L11">
        <v>36000</v>
      </c>
      <c r="M11">
        <v>8100</v>
      </c>
      <c r="N11" t="s">
        <v>39</v>
      </c>
      <c r="O11" t="s">
        <v>22</v>
      </c>
      <c r="P11" t="str">
        <f>IF(SalesTable[[#This Row],[SalesAmount]]&gt;400000,"high sales","low sales")</f>
        <v>low sales</v>
      </c>
      <c r="Q11" t="b">
        <f>AND(SalesTable[[#This Row],[SalesAmount]]&gt;300000,SalesTable[[#This Row],[PaymentMode]]="Cash")</f>
        <v>0</v>
      </c>
      <c r="R11" t="b">
        <f>OR(SalesTable[[#This Row],[SalesAmount]]&gt;300000,SalesTable[[#This Row],[PaymentMode]]="Cash")</f>
        <v>0</v>
      </c>
      <c r="S11" t="b">
        <f>NOT(SalesTable[[#This Row],[SalesAmount]]&gt;500)</f>
        <v>0</v>
      </c>
      <c r="T11">
        <f>IFERROR(SalesTable[[#This Row],[Profit]]/SalesTable[[#This Row],[SalesAmount]],"no sales")</f>
        <v>0.18367346938775511</v>
      </c>
      <c r="U11" t="str">
        <f>UPPER(SalesTable[[#This Row],[Salesperson]])</f>
        <v>PRIYA</v>
      </c>
      <c r="V11" t="str">
        <f>LOWER(SalesTable[[#This Row],[Salesperson]])</f>
        <v>priya</v>
      </c>
      <c r="W11" t="str">
        <f>LEFT(SalesTable[[#This Row],[uppercase ]],2)</f>
        <v>PR</v>
      </c>
      <c r="X11" t="str">
        <f>RIGHT(SalesTable[[#This Row],[uppercase ]],3)</f>
        <v>IYA</v>
      </c>
      <c r="Y11" t="str">
        <f>MID(SalesTable[[#This Row],[uppercase ]],2,2)</f>
        <v>RI</v>
      </c>
      <c r="Z11" t="str">
        <f>_xlfn.CONCAT(SalesTable[[#This Row],[left fn ]],SalesTable[[#This Row],[right]])</f>
        <v>PRIYA</v>
      </c>
      <c r="AA11">
        <f>LEN(SalesTable[[#This Row],[uppercase ]])</f>
        <v>5</v>
      </c>
      <c r="AB11" t="str">
        <f>TRIM(SalesTable[[#This Row],[Segment]])</f>
        <v>Consumer</v>
      </c>
      <c r="AC11" t="str">
        <f>_xlfn.TEXTJOIN("-",TRUE,SalesTable[[#This Row],[lowercase]],SalesTable[[#This Row],[middle]])</f>
        <v>priya-RI</v>
      </c>
      <c r="AD11">
        <f>FIND(SalesTable[[#This Row],[middle]],SalesTable[[#This Row],[concatenate ]],1)</f>
        <v>2</v>
      </c>
      <c r="AE11" s="1">
        <f t="shared" ca="1" si="0"/>
        <v>46087</v>
      </c>
      <c r="AF11" s="2">
        <f t="shared" ca="1" si="1"/>
        <v>46087.6708125</v>
      </c>
      <c r="AG11">
        <f>DAY(SalesTable[[#This Row],[OrderDate]])</f>
        <v>28</v>
      </c>
      <c r="AH11">
        <f>MONTH(SalesTable[[#This Row],[OrderDate]])</f>
        <v>1</v>
      </c>
      <c r="AI11">
        <f>YEAR(SalesTable[[#This Row],[OrderDate]])</f>
        <v>2025</v>
      </c>
      <c r="AJ11" t="str">
        <f>TEXT(SalesTable[[#This Row],[OrderDate]],"dddd")</f>
        <v>Tuesday</v>
      </c>
      <c r="AK11">
        <f>WEEKDAY(SalesTable[[#This Row],[OrderDate]])</f>
        <v>3</v>
      </c>
      <c r="AL11" s="3">
        <f t="shared" si="2"/>
        <v>0.4375</v>
      </c>
      <c r="AM11">
        <f>HOUR(SalesTable[[#This Row],[time ]])</f>
        <v>10</v>
      </c>
      <c r="AN11">
        <f>MINUTE(SalesTable[[#This Row],[time ]])</f>
        <v>30</v>
      </c>
    </row>
    <row r="12" spans="1:41" x14ac:dyDescent="0.35">
      <c r="A12">
        <v>1011</v>
      </c>
      <c r="B12" t="s">
        <v>53</v>
      </c>
      <c r="C12" t="s">
        <v>16</v>
      </c>
      <c r="D12" t="s">
        <v>54</v>
      </c>
      <c r="E12" t="s">
        <v>26</v>
      </c>
      <c r="F12" t="s">
        <v>33</v>
      </c>
      <c r="G12" t="s">
        <v>52</v>
      </c>
      <c r="H12">
        <v>11</v>
      </c>
      <c r="I12">
        <v>20000</v>
      </c>
      <c r="J12">
        <v>0.1</v>
      </c>
      <c r="K12">
        <v>198000</v>
      </c>
      <c r="L12">
        <v>165000</v>
      </c>
      <c r="M12">
        <v>33000</v>
      </c>
      <c r="N12" t="s">
        <v>44</v>
      </c>
      <c r="O12" t="s">
        <v>40</v>
      </c>
      <c r="P12" t="str">
        <f>IF(SalesTable[[#This Row],[SalesAmount]]&gt;400000,"high sales","low sales")</f>
        <v>low sales</v>
      </c>
      <c r="Q12" t="b">
        <f>AND(SalesTable[[#This Row],[SalesAmount]]&gt;300000,SalesTable[[#This Row],[PaymentMode]]="Cash")</f>
        <v>0</v>
      </c>
      <c r="R12" t="b">
        <f>OR(SalesTable[[#This Row],[SalesAmount]]&gt;300000,SalesTable[[#This Row],[PaymentMode]]="Cash")</f>
        <v>0</v>
      </c>
      <c r="S12" t="b">
        <f>NOT(SalesTable[[#This Row],[SalesAmount]]&gt;500)</f>
        <v>0</v>
      </c>
      <c r="T12">
        <f>IFERROR(SalesTable[[#This Row],[Profit]]/SalesTable[[#This Row],[SalesAmount]],"no sales")</f>
        <v>0.16666666666666666</v>
      </c>
      <c r="U12" t="str">
        <f>UPPER(SalesTable[[#This Row],[Salesperson]])</f>
        <v>RAHUL</v>
      </c>
      <c r="V12" t="str">
        <f>LOWER(SalesTable[[#This Row],[Salesperson]])</f>
        <v>rahul</v>
      </c>
      <c r="W12" t="str">
        <f>LEFT(SalesTable[[#This Row],[uppercase ]],2)</f>
        <v>RA</v>
      </c>
      <c r="X12" t="str">
        <f>RIGHT(SalesTable[[#This Row],[uppercase ]],3)</f>
        <v>HUL</v>
      </c>
      <c r="Y12" t="str">
        <f>MID(SalesTable[[#This Row],[uppercase ]],2,2)</f>
        <v>AH</v>
      </c>
      <c r="Z12" t="str">
        <f>_xlfn.CONCAT(SalesTable[[#This Row],[left fn ]],SalesTable[[#This Row],[right]])</f>
        <v>RAHUL</v>
      </c>
      <c r="AA12">
        <f>LEN(SalesTable[[#This Row],[uppercase ]])</f>
        <v>5</v>
      </c>
      <c r="AB12" t="str">
        <f>TRIM(SalesTable[[#This Row],[Segment]])</f>
        <v>Consumer</v>
      </c>
      <c r="AC12" t="str">
        <f>_xlfn.TEXTJOIN("-",TRUE,SalesTable[[#This Row],[lowercase]],SalesTable[[#This Row],[middle]])</f>
        <v>rahul-AH</v>
      </c>
      <c r="AD12">
        <f>FIND(SalesTable[[#This Row],[middle]],SalesTable[[#This Row],[concatenate ]],1)</f>
        <v>2</v>
      </c>
      <c r="AE12" s="1">
        <f t="shared" ca="1" si="0"/>
        <v>46087</v>
      </c>
      <c r="AF12" s="2">
        <f t="shared" ca="1" si="1"/>
        <v>46087.6708125</v>
      </c>
      <c r="AG12">
        <f>DAY(SalesTable[[#This Row],[OrderDate]])</f>
        <v>2</v>
      </c>
      <c r="AH12">
        <f>MONTH(SalesTable[[#This Row],[OrderDate]])</f>
        <v>1</v>
      </c>
      <c r="AI12">
        <f>YEAR(SalesTable[[#This Row],[OrderDate]])</f>
        <v>2025</v>
      </c>
      <c r="AJ12" t="str">
        <f>TEXT(SalesTable[[#This Row],[OrderDate]],"dddd")</f>
        <v>Thursday</v>
      </c>
      <c r="AK12">
        <f>WEEKDAY(SalesTable[[#This Row],[OrderDate]])</f>
        <v>5</v>
      </c>
      <c r="AL12" s="3">
        <f t="shared" si="2"/>
        <v>0.4375</v>
      </c>
      <c r="AM12">
        <f>HOUR(SalesTable[[#This Row],[time ]])</f>
        <v>10</v>
      </c>
      <c r="AN12">
        <f>MINUTE(SalesTable[[#This Row],[time ]])</f>
        <v>30</v>
      </c>
    </row>
    <row r="13" spans="1:41" x14ac:dyDescent="0.35">
      <c r="A13">
        <v>1012</v>
      </c>
      <c r="B13" t="s">
        <v>55</v>
      </c>
      <c r="C13" t="s">
        <v>24</v>
      </c>
      <c r="D13" t="s">
        <v>25</v>
      </c>
      <c r="E13" t="s">
        <v>46</v>
      </c>
      <c r="F13" t="s">
        <v>47</v>
      </c>
      <c r="G13" t="s">
        <v>20</v>
      </c>
      <c r="H13">
        <v>5</v>
      </c>
      <c r="I13">
        <v>100</v>
      </c>
      <c r="J13">
        <v>0.08</v>
      </c>
      <c r="K13">
        <v>460</v>
      </c>
      <c r="L13">
        <v>250</v>
      </c>
      <c r="M13">
        <v>210</v>
      </c>
      <c r="N13" t="s">
        <v>44</v>
      </c>
      <c r="O13" t="s">
        <v>30</v>
      </c>
      <c r="P13" t="str">
        <f>IF(SalesTable[[#This Row],[SalesAmount]]&gt;400000,"high sales","low sales")</f>
        <v>low sales</v>
      </c>
      <c r="Q13" t="b">
        <f>AND(SalesTable[[#This Row],[SalesAmount]]&gt;300000,SalesTable[[#This Row],[PaymentMode]]="Cash")</f>
        <v>0</v>
      </c>
      <c r="R13" t="b">
        <f>OR(SalesTable[[#This Row],[SalesAmount]]&gt;300000,SalesTable[[#This Row],[PaymentMode]]="Cash")</f>
        <v>0</v>
      </c>
      <c r="S13" t="b">
        <f>NOT(SalesTable[[#This Row],[SalesAmount]]&gt;500)</f>
        <v>1</v>
      </c>
      <c r="T13">
        <f>IFERROR(SalesTable[[#This Row],[Profit]]/SalesTable[[#This Row],[SalesAmount]],"no sales")</f>
        <v>0.45652173913043476</v>
      </c>
      <c r="U13" t="str">
        <f>UPPER(SalesTable[[#This Row],[Salesperson]])</f>
        <v>AMIT</v>
      </c>
      <c r="V13" t="str">
        <f>LOWER(SalesTable[[#This Row],[Salesperson]])</f>
        <v>amit</v>
      </c>
      <c r="W13" t="str">
        <f>LEFT(SalesTable[[#This Row],[uppercase ]],2)</f>
        <v>AM</v>
      </c>
      <c r="X13" t="str">
        <f>RIGHT(SalesTable[[#This Row],[uppercase ]],3)</f>
        <v>MIT</v>
      </c>
      <c r="Y13" t="str">
        <f>MID(SalesTable[[#This Row],[uppercase ]],2,2)</f>
        <v>MI</v>
      </c>
      <c r="Z13" t="str">
        <f>_xlfn.CONCAT(SalesTable[[#This Row],[left fn ]],SalesTable[[#This Row],[right]])</f>
        <v>AMMIT</v>
      </c>
      <c r="AA13">
        <f>LEN(SalesTable[[#This Row],[uppercase ]])</f>
        <v>4</v>
      </c>
      <c r="AB13" t="str">
        <f>TRIM(SalesTable[[#This Row],[Segment]])</f>
        <v>Corporate</v>
      </c>
      <c r="AC13" t="str">
        <f>_xlfn.TEXTJOIN("-",TRUE,SalesTable[[#This Row],[lowercase]],SalesTable[[#This Row],[middle]])</f>
        <v>amit-MI</v>
      </c>
      <c r="AD13">
        <f>FIND(SalesTable[[#This Row],[middle]],SalesTable[[#This Row],[concatenate ]],1)</f>
        <v>3</v>
      </c>
      <c r="AE13" s="1">
        <f t="shared" ca="1" si="0"/>
        <v>46087</v>
      </c>
      <c r="AF13" s="2">
        <f t="shared" ca="1" si="1"/>
        <v>46087.6708125</v>
      </c>
      <c r="AG13">
        <f>DAY(SalesTable[[#This Row],[OrderDate]])</f>
        <v>6</v>
      </c>
      <c r="AH13">
        <f>MONTH(SalesTable[[#This Row],[OrderDate]])</f>
        <v>2</v>
      </c>
      <c r="AI13">
        <f>YEAR(SalesTable[[#This Row],[OrderDate]])</f>
        <v>2025</v>
      </c>
      <c r="AJ13" t="str">
        <f>TEXT(SalesTable[[#This Row],[OrderDate]],"dddd")</f>
        <v>Thursday</v>
      </c>
      <c r="AK13">
        <f>WEEKDAY(SalesTable[[#This Row],[OrderDate]])</f>
        <v>5</v>
      </c>
      <c r="AL13" s="3">
        <f t="shared" si="2"/>
        <v>0.4375</v>
      </c>
      <c r="AM13">
        <f>HOUR(SalesTable[[#This Row],[time ]])</f>
        <v>10</v>
      </c>
      <c r="AN13">
        <f>MINUTE(SalesTable[[#This Row],[time ]])</f>
        <v>30</v>
      </c>
    </row>
    <row r="14" spans="1:41" x14ac:dyDescent="0.35">
      <c r="A14">
        <v>1013</v>
      </c>
      <c r="B14" t="s">
        <v>31</v>
      </c>
      <c r="C14" t="s">
        <v>16</v>
      </c>
      <c r="D14" t="s">
        <v>54</v>
      </c>
      <c r="E14" t="s">
        <v>26</v>
      </c>
      <c r="F14" t="s">
        <v>50</v>
      </c>
      <c r="G14" t="s">
        <v>28</v>
      </c>
      <c r="H14">
        <v>6</v>
      </c>
      <c r="I14">
        <v>55000</v>
      </c>
      <c r="J14">
        <v>0.05</v>
      </c>
      <c r="K14">
        <v>313500</v>
      </c>
      <c r="L14">
        <v>300000</v>
      </c>
      <c r="M14">
        <v>13500</v>
      </c>
      <c r="N14" t="s">
        <v>21</v>
      </c>
      <c r="O14" t="s">
        <v>22</v>
      </c>
      <c r="P14" t="str">
        <f>IF(SalesTable[[#This Row],[SalesAmount]]&gt;400000,"high sales","low sales")</f>
        <v>low sales</v>
      </c>
      <c r="Q14" t="b">
        <f>AND(SalesTable[[#This Row],[SalesAmount]]&gt;300000,SalesTable[[#This Row],[PaymentMode]]="Cash")</f>
        <v>0</v>
      </c>
      <c r="R14" t="b">
        <f>OR(SalesTable[[#This Row],[SalesAmount]]&gt;300000,SalesTable[[#This Row],[PaymentMode]]="Cash")</f>
        <v>1</v>
      </c>
      <c r="S14" t="b">
        <f>NOT(SalesTable[[#This Row],[SalesAmount]]&gt;500)</f>
        <v>0</v>
      </c>
      <c r="T14">
        <f>IFERROR(SalesTable[[#This Row],[Profit]]/SalesTable[[#This Row],[SalesAmount]],"no sales")</f>
        <v>4.3062200956937802E-2</v>
      </c>
      <c r="U14" t="str">
        <f>UPPER(SalesTable[[#This Row],[Salesperson]])</f>
        <v>RAHUL</v>
      </c>
      <c r="V14" t="str">
        <f>LOWER(SalesTable[[#This Row],[Salesperson]])</f>
        <v>rahul</v>
      </c>
      <c r="W14" t="str">
        <f>LEFT(SalesTable[[#This Row],[uppercase ]],2)</f>
        <v>RA</v>
      </c>
      <c r="X14" t="str">
        <f>RIGHT(SalesTable[[#This Row],[uppercase ]],3)</f>
        <v>HUL</v>
      </c>
      <c r="Y14" t="str">
        <f>MID(SalesTable[[#This Row],[uppercase ]],2,2)</f>
        <v>AH</v>
      </c>
      <c r="Z14" t="str">
        <f>_xlfn.CONCAT(SalesTable[[#This Row],[left fn ]],SalesTable[[#This Row],[right]])</f>
        <v>RAHUL</v>
      </c>
      <c r="AA14">
        <f>LEN(SalesTable[[#This Row],[uppercase ]])</f>
        <v>5</v>
      </c>
      <c r="AB14" t="str">
        <f>TRIM(SalesTable[[#This Row],[Segment]])</f>
        <v>Home Office</v>
      </c>
      <c r="AC14" t="str">
        <f>_xlfn.TEXTJOIN("-",TRUE,SalesTable[[#This Row],[lowercase]],SalesTable[[#This Row],[middle]])</f>
        <v>rahul-AH</v>
      </c>
      <c r="AD14">
        <f>FIND(SalesTable[[#This Row],[middle]],SalesTable[[#This Row],[concatenate ]],1)</f>
        <v>2</v>
      </c>
      <c r="AE14" s="1">
        <f t="shared" ca="1" si="0"/>
        <v>46087</v>
      </c>
      <c r="AF14" s="2">
        <f t="shared" ca="1" si="1"/>
        <v>46087.6708125</v>
      </c>
      <c r="AG14">
        <f>DAY(SalesTable[[#This Row],[OrderDate]])</f>
        <v>23</v>
      </c>
      <c r="AH14">
        <f>MONTH(SalesTable[[#This Row],[OrderDate]])</f>
        <v>2</v>
      </c>
      <c r="AI14">
        <f>YEAR(SalesTable[[#This Row],[OrderDate]])</f>
        <v>2025</v>
      </c>
      <c r="AJ14" t="str">
        <f>TEXT(SalesTable[[#This Row],[OrderDate]],"dddd")</f>
        <v>Sunday</v>
      </c>
      <c r="AK14">
        <f>WEEKDAY(SalesTable[[#This Row],[OrderDate]])</f>
        <v>1</v>
      </c>
      <c r="AL14" s="3">
        <f t="shared" si="2"/>
        <v>0.4375</v>
      </c>
      <c r="AM14">
        <f>HOUR(SalesTable[[#This Row],[time ]])</f>
        <v>10</v>
      </c>
      <c r="AN14">
        <f>MINUTE(SalesTable[[#This Row],[time ]])</f>
        <v>30</v>
      </c>
    </row>
    <row r="15" spans="1:41" x14ac:dyDescent="0.35">
      <c r="A15">
        <v>1014</v>
      </c>
      <c r="B15" t="s">
        <v>56</v>
      </c>
      <c r="C15" t="s">
        <v>32</v>
      </c>
      <c r="D15" t="s">
        <v>54</v>
      </c>
      <c r="E15" t="s">
        <v>26</v>
      </c>
      <c r="F15" t="s">
        <v>27</v>
      </c>
      <c r="G15" t="s">
        <v>20</v>
      </c>
      <c r="H15">
        <v>20</v>
      </c>
      <c r="I15">
        <v>15000</v>
      </c>
      <c r="J15">
        <v>0.1</v>
      </c>
      <c r="K15">
        <v>270000</v>
      </c>
      <c r="L15">
        <v>240000</v>
      </c>
      <c r="M15">
        <v>30000</v>
      </c>
      <c r="N15" t="s">
        <v>39</v>
      </c>
      <c r="O15" t="s">
        <v>40</v>
      </c>
      <c r="P15" t="str">
        <f>IF(SalesTable[[#This Row],[SalesAmount]]&gt;400000,"high sales","low sales")</f>
        <v>low sales</v>
      </c>
      <c r="Q15" t="b">
        <f>AND(SalesTable[[#This Row],[SalesAmount]]&gt;300000,SalesTable[[#This Row],[PaymentMode]]="Cash")</f>
        <v>0</v>
      </c>
      <c r="R15" t="b">
        <f>OR(SalesTable[[#This Row],[SalesAmount]]&gt;300000,SalesTable[[#This Row],[PaymentMode]]="Cash")</f>
        <v>0</v>
      </c>
      <c r="S15" t="b">
        <f>NOT(SalesTable[[#This Row],[SalesAmount]]&gt;500)</f>
        <v>0</v>
      </c>
      <c r="T15">
        <f>IFERROR(SalesTable[[#This Row],[Profit]]/SalesTable[[#This Row],[SalesAmount]],"no sales")</f>
        <v>0.1111111111111111</v>
      </c>
      <c r="U15" t="str">
        <f>UPPER(SalesTable[[#This Row],[Salesperson]])</f>
        <v>RAHUL</v>
      </c>
      <c r="V15" t="str">
        <f>LOWER(SalesTable[[#This Row],[Salesperson]])</f>
        <v>rahul</v>
      </c>
      <c r="W15" t="str">
        <f>LEFT(SalesTable[[#This Row],[uppercase ]],2)</f>
        <v>RA</v>
      </c>
      <c r="X15" t="str">
        <f>RIGHT(SalesTable[[#This Row],[uppercase ]],3)</f>
        <v>HUL</v>
      </c>
      <c r="Y15" t="str">
        <f>MID(SalesTable[[#This Row],[uppercase ]],2,2)</f>
        <v>AH</v>
      </c>
      <c r="Z15" t="str">
        <f>_xlfn.CONCAT(SalesTable[[#This Row],[left fn ]],SalesTable[[#This Row],[right]])</f>
        <v>RAHUL</v>
      </c>
      <c r="AA15">
        <f>LEN(SalesTable[[#This Row],[uppercase ]])</f>
        <v>5</v>
      </c>
      <c r="AB15" t="str">
        <f>TRIM(SalesTable[[#This Row],[Segment]])</f>
        <v>Corporate</v>
      </c>
      <c r="AC15" t="str">
        <f>_xlfn.TEXTJOIN("-",TRUE,SalesTable[[#This Row],[lowercase]],SalesTable[[#This Row],[middle]])</f>
        <v>rahul-AH</v>
      </c>
      <c r="AD15">
        <f>FIND(SalesTable[[#This Row],[middle]],SalesTable[[#This Row],[concatenate ]],1)</f>
        <v>2</v>
      </c>
      <c r="AE15" s="1">
        <f t="shared" ca="1" si="0"/>
        <v>46087</v>
      </c>
      <c r="AF15" s="2">
        <f t="shared" ca="1" si="1"/>
        <v>46087.6708125</v>
      </c>
      <c r="AG15">
        <f>DAY(SalesTable[[#This Row],[OrderDate]])</f>
        <v>3</v>
      </c>
      <c r="AH15">
        <f>MONTH(SalesTable[[#This Row],[OrderDate]])</f>
        <v>2</v>
      </c>
      <c r="AI15">
        <f>YEAR(SalesTable[[#This Row],[OrderDate]])</f>
        <v>2025</v>
      </c>
      <c r="AJ15" t="str">
        <f>TEXT(SalesTable[[#This Row],[OrderDate]],"dddd")</f>
        <v>Monday</v>
      </c>
      <c r="AK15">
        <f>WEEKDAY(SalesTable[[#This Row],[OrderDate]])</f>
        <v>2</v>
      </c>
      <c r="AL15" s="3">
        <f t="shared" si="2"/>
        <v>0.4375</v>
      </c>
      <c r="AM15">
        <f>HOUR(SalesTable[[#This Row],[time ]])</f>
        <v>10</v>
      </c>
      <c r="AN15">
        <f>MINUTE(SalesTable[[#This Row],[time ]])</f>
        <v>30</v>
      </c>
    </row>
    <row r="16" spans="1:41" x14ac:dyDescent="0.35">
      <c r="A16">
        <v>1015</v>
      </c>
      <c r="B16" t="s">
        <v>57</v>
      </c>
      <c r="C16" t="s">
        <v>16</v>
      </c>
      <c r="D16" t="s">
        <v>54</v>
      </c>
      <c r="E16" t="s">
        <v>26</v>
      </c>
      <c r="F16" t="s">
        <v>50</v>
      </c>
      <c r="G16" t="s">
        <v>52</v>
      </c>
      <c r="H16">
        <v>11</v>
      </c>
      <c r="I16">
        <v>55000</v>
      </c>
      <c r="J16">
        <v>0.1</v>
      </c>
      <c r="K16">
        <v>544500</v>
      </c>
      <c r="L16">
        <v>550000</v>
      </c>
      <c r="M16">
        <v>-5500</v>
      </c>
      <c r="N16" t="s">
        <v>29</v>
      </c>
      <c r="O16" t="s">
        <v>40</v>
      </c>
      <c r="P16" t="str">
        <f>IF(SalesTable[[#This Row],[SalesAmount]]&gt;400000,"high sales","low sales")</f>
        <v>high sales</v>
      </c>
      <c r="Q16" t="b">
        <f>AND(SalesTable[[#This Row],[SalesAmount]]&gt;300000,SalesTable[[#This Row],[PaymentMode]]="Cash")</f>
        <v>1</v>
      </c>
      <c r="R16" t="b">
        <f>OR(SalesTable[[#This Row],[SalesAmount]]&gt;300000,SalesTable[[#This Row],[PaymentMode]]="Cash")</f>
        <v>1</v>
      </c>
      <c r="S16" t="b">
        <f>NOT(SalesTable[[#This Row],[SalesAmount]]&gt;500)</f>
        <v>0</v>
      </c>
      <c r="T16">
        <f>IFERROR(SalesTable[[#This Row],[Profit]]/SalesTable[[#This Row],[SalesAmount]],"no sales")</f>
        <v>-1.0101010101010102E-2</v>
      </c>
      <c r="U16" t="str">
        <f>UPPER(SalesTable[[#This Row],[Salesperson]])</f>
        <v>RAHUL</v>
      </c>
      <c r="V16" t="str">
        <f>LOWER(SalesTable[[#This Row],[Salesperson]])</f>
        <v>rahul</v>
      </c>
      <c r="W16" t="str">
        <f>LEFT(SalesTable[[#This Row],[uppercase ]],2)</f>
        <v>RA</v>
      </c>
      <c r="X16" t="str">
        <f>RIGHT(SalesTable[[#This Row],[uppercase ]],3)</f>
        <v>HUL</v>
      </c>
      <c r="Y16" t="str">
        <f>MID(SalesTable[[#This Row],[uppercase ]],2,2)</f>
        <v>AH</v>
      </c>
      <c r="Z16" t="str">
        <f>_xlfn.CONCAT(SalesTable[[#This Row],[left fn ]],SalesTable[[#This Row],[right]])</f>
        <v>RAHUL</v>
      </c>
      <c r="AA16">
        <f>LEN(SalesTable[[#This Row],[uppercase ]])</f>
        <v>5</v>
      </c>
      <c r="AB16" t="str">
        <f>TRIM(SalesTable[[#This Row],[Segment]])</f>
        <v>Consumer</v>
      </c>
      <c r="AC16" t="str">
        <f>_xlfn.TEXTJOIN("-",TRUE,SalesTable[[#This Row],[lowercase]],SalesTable[[#This Row],[middle]])</f>
        <v>rahul-AH</v>
      </c>
      <c r="AD16">
        <f>FIND(SalesTable[[#This Row],[middle]],SalesTable[[#This Row],[concatenate ]],1)</f>
        <v>2</v>
      </c>
      <c r="AE16" s="1">
        <f t="shared" ca="1" si="0"/>
        <v>46087</v>
      </c>
      <c r="AF16" s="2">
        <f t="shared" ca="1" si="1"/>
        <v>46087.6708125</v>
      </c>
      <c r="AG16">
        <f>DAY(SalesTable[[#This Row],[OrderDate]])</f>
        <v>25</v>
      </c>
      <c r="AH16">
        <f>MONTH(SalesTable[[#This Row],[OrderDate]])</f>
        <v>2</v>
      </c>
      <c r="AI16">
        <f>YEAR(SalesTable[[#This Row],[OrderDate]])</f>
        <v>2025</v>
      </c>
      <c r="AJ16" t="str">
        <f>TEXT(SalesTable[[#This Row],[OrderDate]],"dddd")</f>
        <v>Tuesday</v>
      </c>
      <c r="AK16">
        <f>WEEKDAY(SalesTable[[#This Row],[OrderDate]])</f>
        <v>3</v>
      </c>
      <c r="AL16" s="3">
        <f t="shared" si="2"/>
        <v>0.4375</v>
      </c>
      <c r="AM16">
        <f>HOUR(SalesTable[[#This Row],[time ]])</f>
        <v>10</v>
      </c>
      <c r="AN16">
        <f>MINUTE(SalesTable[[#This Row],[time ]])</f>
        <v>30</v>
      </c>
    </row>
    <row r="17" spans="1:40" x14ac:dyDescent="0.35">
      <c r="A17">
        <v>1016</v>
      </c>
      <c r="B17" t="s">
        <v>58</v>
      </c>
      <c r="C17" t="s">
        <v>24</v>
      </c>
      <c r="D17" t="s">
        <v>25</v>
      </c>
      <c r="E17" t="s">
        <v>26</v>
      </c>
      <c r="F17" t="s">
        <v>59</v>
      </c>
      <c r="G17" t="s">
        <v>28</v>
      </c>
      <c r="H17">
        <v>18</v>
      </c>
      <c r="I17">
        <v>2000</v>
      </c>
      <c r="J17">
        <v>0.02</v>
      </c>
      <c r="K17">
        <v>35280</v>
      </c>
      <c r="L17">
        <v>27000</v>
      </c>
      <c r="M17">
        <v>8280</v>
      </c>
      <c r="N17" t="s">
        <v>44</v>
      </c>
      <c r="O17" t="s">
        <v>30</v>
      </c>
      <c r="P17" t="str">
        <f>IF(SalesTable[[#This Row],[SalesAmount]]&gt;400000,"high sales","low sales")</f>
        <v>low sales</v>
      </c>
      <c r="Q17" t="b">
        <f>AND(SalesTable[[#This Row],[SalesAmount]]&gt;300000,SalesTable[[#This Row],[PaymentMode]]="Cash")</f>
        <v>0</v>
      </c>
      <c r="R17" t="b">
        <f>OR(SalesTable[[#This Row],[SalesAmount]]&gt;300000,SalesTable[[#This Row],[PaymentMode]]="Cash")</f>
        <v>0</v>
      </c>
      <c r="S17" t="b">
        <f>NOT(SalesTable[[#This Row],[SalesAmount]]&gt;500)</f>
        <v>0</v>
      </c>
      <c r="T17">
        <f>IFERROR(SalesTable[[#This Row],[Profit]]/SalesTable[[#This Row],[SalesAmount]],"no sales")</f>
        <v>0.23469387755102042</v>
      </c>
      <c r="U17" t="str">
        <f>UPPER(SalesTable[[#This Row],[Salesperson]])</f>
        <v>AMIT</v>
      </c>
      <c r="V17" t="str">
        <f>LOWER(SalesTable[[#This Row],[Salesperson]])</f>
        <v>amit</v>
      </c>
      <c r="W17" t="str">
        <f>LEFT(SalesTable[[#This Row],[uppercase ]],2)</f>
        <v>AM</v>
      </c>
      <c r="X17" t="str">
        <f>RIGHT(SalesTable[[#This Row],[uppercase ]],3)</f>
        <v>MIT</v>
      </c>
      <c r="Y17" t="str">
        <f>MID(SalesTable[[#This Row],[uppercase ]],2,2)</f>
        <v>MI</v>
      </c>
      <c r="Z17" t="str">
        <f>_xlfn.CONCAT(SalesTable[[#This Row],[left fn ]],SalesTable[[#This Row],[right]])</f>
        <v>AMMIT</v>
      </c>
      <c r="AA17">
        <f>LEN(SalesTable[[#This Row],[uppercase ]])</f>
        <v>4</v>
      </c>
      <c r="AB17" t="str">
        <f>TRIM(SalesTable[[#This Row],[Segment]])</f>
        <v>Home Office</v>
      </c>
      <c r="AC17" t="str">
        <f>_xlfn.TEXTJOIN("-",TRUE,SalesTable[[#This Row],[lowercase]],SalesTable[[#This Row],[middle]])</f>
        <v>amit-MI</v>
      </c>
      <c r="AD17">
        <f>FIND(SalesTable[[#This Row],[middle]],SalesTable[[#This Row],[concatenate ]],1)</f>
        <v>3</v>
      </c>
      <c r="AE17" s="1">
        <f t="shared" ca="1" si="0"/>
        <v>46087</v>
      </c>
      <c r="AF17" s="2">
        <f t="shared" ca="1" si="1"/>
        <v>46087.6708125</v>
      </c>
      <c r="AG17">
        <f>DAY(SalesTable[[#This Row],[OrderDate]])</f>
        <v>23</v>
      </c>
      <c r="AH17">
        <f>MONTH(SalesTable[[#This Row],[OrderDate]])</f>
        <v>1</v>
      </c>
      <c r="AI17">
        <f>YEAR(SalesTable[[#This Row],[OrderDate]])</f>
        <v>2025</v>
      </c>
      <c r="AJ17" t="str">
        <f>TEXT(SalesTable[[#This Row],[OrderDate]],"dddd")</f>
        <v>Thursday</v>
      </c>
      <c r="AK17">
        <f>WEEKDAY(SalesTable[[#This Row],[OrderDate]])</f>
        <v>5</v>
      </c>
      <c r="AL17" s="3">
        <f t="shared" si="2"/>
        <v>0.4375</v>
      </c>
      <c r="AM17">
        <f>HOUR(SalesTable[[#This Row],[time ]])</f>
        <v>10</v>
      </c>
      <c r="AN17">
        <f>MINUTE(SalesTable[[#This Row],[time ]])</f>
        <v>30</v>
      </c>
    </row>
    <row r="18" spans="1:40" x14ac:dyDescent="0.35">
      <c r="A18">
        <v>1017</v>
      </c>
      <c r="B18" t="s">
        <v>60</v>
      </c>
      <c r="C18" t="s">
        <v>16</v>
      </c>
      <c r="D18" t="s">
        <v>42</v>
      </c>
      <c r="E18" t="s">
        <v>18</v>
      </c>
      <c r="F18" t="s">
        <v>38</v>
      </c>
      <c r="G18" t="s">
        <v>28</v>
      </c>
      <c r="H18">
        <v>10</v>
      </c>
      <c r="I18">
        <v>35000</v>
      </c>
      <c r="J18">
        <v>0.02</v>
      </c>
      <c r="K18">
        <v>343000</v>
      </c>
      <c r="L18">
        <v>250000</v>
      </c>
      <c r="M18">
        <v>93000</v>
      </c>
      <c r="N18" t="s">
        <v>39</v>
      </c>
      <c r="O18" t="s">
        <v>22</v>
      </c>
      <c r="P18" t="str">
        <f>IF(SalesTable[[#This Row],[SalesAmount]]&gt;400000,"high sales","low sales")</f>
        <v>low sales</v>
      </c>
      <c r="Q18" t="b">
        <f>AND(SalesTable[[#This Row],[SalesAmount]]&gt;300000,SalesTable[[#This Row],[PaymentMode]]="Cash")</f>
        <v>0</v>
      </c>
      <c r="R18" t="b">
        <f>OR(SalesTable[[#This Row],[SalesAmount]]&gt;300000,SalesTable[[#This Row],[PaymentMode]]="Cash")</f>
        <v>1</v>
      </c>
      <c r="S18" t="b">
        <f>NOT(SalesTable[[#This Row],[SalesAmount]]&gt;500)</f>
        <v>0</v>
      </c>
      <c r="T18">
        <f>IFERROR(SalesTable[[#This Row],[Profit]]/SalesTable[[#This Row],[SalesAmount]],"no sales")</f>
        <v>0.27113702623906705</v>
      </c>
      <c r="U18" t="str">
        <f>UPPER(SalesTable[[#This Row],[Salesperson]])</f>
        <v>SNEHA</v>
      </c>
      <c r="V18" t="str">
        <f>LOWER(SalesTable[[#This Row],[Salesperson]])</f>
        <v>sneha</v>
      </c>
      <c r="W18" t="str">
        <f>LEFT(SalesTable[[#This Row],[uppercase ]],2)</f>
        <v>SN</v>
      </c>
      <c r="X18" t="str">
        <f>RIGHT(SalesTable[[#This Row],[uppercase ]],3)</f>
        <v>EHA</v>
      </c>
      <c r="Y18" t="str">
        <f>MID(SalesTable[[#This Row],[uppercase ]],2,2)</f>
        <v>NE</v>
      </c>
      <c r="Z18" t="str">
        <f>_xlfn.CONCAT(SalesTable[[#This Row],[left fn ]],SalesTable[[#This Row],[right]])</f>
        <v>SNEHA</v>
      </c>
      <c r="AA18">
        <f>LEN(SalesTable[[#This Row],[uppercase ]])</f>
        <v>5</v>
      </c>
      <c r="AB18" t="str">
        <f>TRIM(SalesTable[[#This Row],[Segment]])</f>
        <v>Home Office</v>
      </c>
      <c r="AC18" t="str">
        <f>_xlfn.TEXTJOIN("-",TRUE,SalesTable[[#This Row],[lowercase]],SalesTable[[#This Row],[middle]])</f>
        <v>sneha-NE</v>
      </c>
      <c r="AD18">
        <f>FIND(SalesTable[[#This Row],[middle]],SalesTable[[#This Row],[concatenate ]],1)</f>
        <v>2</v>
      </c>
      <c r="AE18" s="1">
        <f t="shared" ca="1" si="0"/>
        <v>46087</v>
      </c>
      <c r="AF18" s="2">
        <f t="shared" ca="1" si="1"/>
        <v>46087.6708125</v>
      </c>
      <c r="AG18">
        <f>DAY(SalesTable[[#This Row],[OrderDate]])</f>
        <v>5</v>
      </c>
      <c r="AH18">
        <f>MONTH(SalesTable[[#This Row],[OrderDate]])</f>
        <v>1</v>
      </c>
      <c r="AI18">
        <f>YEAR(SalesTable[[#This Row],[OrderDate]])</f>
        <v>2025</v>
      </c>
      <c r="AJ18" t="str">
        <f>TEXT(SalesTable[[#This Row],[OrderDate]],"dddd")</f>
        <v>Sunday</v>
      </c>
      <c r="AK18">
        <f>WEEKDAY(SalesTable[[#This Row],[OrderDate]])</f>
        <v>1</v>
      </c>
      <c r="AL18" s="3">
        <f t="shared" si="2"/>
        <v>0.4375</v>
      </c>
      <c r="AM18">
        <f>HOUR(SalesTable[[#This Row],[time ]])</f>
        <v>10</v>
      </c>
      <c r="AN18">
        <f>MINUTE(SalesTable[[#This Row],[time ]])</f>
        <v>30</v>
      </c>
    </row>
    <row r="19" spans="1:40" x14ac:dyDescent="0.35">
      <c r="A19">
        <v>1018</v>
      </c>
      <c r="B19" t="s">
        <v>61</v>
      </c>
      <c r="C19" t="s">
        <v>24</v>
      </c>
      <c r="D19" t="s">
        <v>42</v>
      </c>
      <c r="E19" t="s">
        <v>18</v>
      </c>
      <c r="F19" t="s">
        <v>19</v>
      </c>
      <c r="G19" t="s">
        <v>28</v>
      </c>
      <c r="H19">
        <v>13</v>
      </c>
      <c r="I19">
        <v>3000</v>
      </c>
      <c r="J19">
        <v>0</v>
      </c>
      <c r="K19">
        <v>39000</v>
      </c>
      <c r="L19">
        <v>26000</v>
      </c>
      <c r="M19">
        <v>13000</v>
      </c>
      <c r="N19" t="s">
        <v>39</v>
      </c>
      <c r="O19" t="s">
        <v>40</v>
      </c>
      <c r="P19" t="str">
        <f>IF(SalesTable[[#This Row],[SalesAmount]]&gt;400000,"high sales","low sales")</f>
        <v>low sales</v>
      </c>
      <c r="Q19" t="b">
        <f>AND(SalesTable[[#This Row],[SalesAmount]]&gt;300000,SalesTable[[#This Row],[PaymentMode]]="Cash")</f>
        <v>0</v>
      </c>
      <c r="R19" t="b">
        <f>OR(SalesTable[[#This Row],[SalesAmount]]&gt;300000,SalesTable[[#This Row],[PaymentMode]]="Cash")</f>
        <v>0</v>
      </c>
      <c r="S19" t="b">
        <f>NOT(SalesTable[[#This Row],[SalesAmount]]&gt;500)</f>
        <v>0</v>
      </c>
      <c r="T19">
        <f>IFERROR(SalesTable[[#This Row],[Profit]]/SalesTable[[#This Row],[SalesAmount]],"no sales")</f>
        <v>0.33333333333333331</v>
      </c>
      <c r="U19" t="str">
        <f>UPPER(SalesTable[[#This Row],[Salesperson]])</f>
        <v>SNEHA</v>
      </c>
      <c r="V19" t="str">
        <f>LOWER(SalesTable[[#This Row],[Salesperson]])</f>
        <v>sneha</v>
      </c>
      <c r="W19" t="str">
        <f>LEFT(SalesTable[[#This Row],[uppercase ]],2)</f>
        <v>SN</v>
      </c>
      <c r="X19" t="str">
        <f>RIGHT(SalesTable[[#This Row],[uppercase ]],3)</f>
        <v>EHA</v>
      </c>
      <c r="Y19" t="str">
        <f>MID(SalesTable[[#This Row],[uppercase ]],2,2)</f>
        <v>NE</v>
      </c>
      <c r="Z19" t="str">
        <f>_xlfn.CONCAT(SalesTable[[#This Row],[left fn ]],SalesTable[[#This Row],[right]])</f>
        <v>SNEHA</v>
      </c>
      <c r="AA19">
        <f>LEN(SalesTable[[#This Row],[uppercase ]])</f>
        <v>5</v>
      </c>
      <c r="AB19" t="str">
        <f>TRIM(SalesTable[[#This Row],[Segment]])</f>
        <v>Home Office</v>
      </c>
      <c r="AC19" t="str">
        <f>_xlfn.TEXTJOIN("-",TRUE,SalesTable[[#This Row],[lowercase]],SalesTable[[#This Row],[middle]])</f>
        <v>sneha-NE</v>
      </c>
      <c r="AD19">
        <f>FIND(SalesTable[[#This Row],[middle]],SalesTable[[#This Row],[concatenate ]],1)</f>
        <v>2</v>
      </c>
      <c r="AE19" s="1">
        <f t="shared" ca="1" si="0"/>
        <v>46087</v>
      </c>
      <c r="AF19" s="2">
        <f t="shared" ca="1" si="1"/>
        <v>46087.6708125</v>
      </c>
      <c r="AG19">
        <f>DAY(SalesTable[[#This Row],[OrderDate]])</f>
        <v>13</v>
      </c>
      <c r="AH19">
        <f>MONTH(SalesTable[[#This Row],[OrderDate]])</f>
        <v>1</v>
      </c>
      <c r="AI19">
        <f>YEAR(SalesTable[[#This Row],[OrderDate]])</f>
        <v>2025</v>
      </c>
      <c r="AJ19" t="str">
        <f>TEXT(SalesTable[[#This Row],[OrderDate]],"dddd")</f>
        <v>Monday</v>
      </c>
      <c r="AK19">
        <f>WEEKDAY(SalesTable[[#This Row],[OrderDate]])</f>
        <v>2</v>
      </c>
      <c r="AL19" s="3">
        <f t="shared" si="2"/>
        <v>0.4375</v>
      </c>
      <c r="AM19">
        <f>HOUR(SalesTable[[#This Row],[time ]])</f>
        <v>10</v>
      </c>
      <c r="AN19">
        <f>MINUTE(SalesTable[[#This Row],[time ]])</f>
        <v>30</v>
      </c>
    </row>
    <row r="20" spans="1:40" x14ac:dyDescent="0.35">
      <c r="A20">
        <v>1019</v>
      </c>
      <c r="B20" t="s">
        <v>62</v>
      </c>
      <c r="C20" t="s">
        <v>35</v>
      </c>
      <c r="D20" t="s">
        <v>17</v>
      </c>
      <c r="E20" t="s">
        <v>26</v>
      </c>
      <c r="F20" t="s">
        <v>33</v>
      </c>
      <c r="G20" t="s">
        <v>20</v>
      </c>
      <c r="H20">
        <v>5</v>
      </c>
      <c r="I20">
        <v>20000</v>
      </c>
      <c r="J20">
        <v>0.08</v>
      </c>
      <c r="K20">
        <v>92000</v>
      </c>
      <c r="L20">
        <v>75000</v>
      </c>
      <c r="M20">
        <v>17000</v>
      </c>
      <c r="N20" t="s">
        <v>21</v>
      </c>
      <c r="O20" t="s">
        <v>22</v>
      </c>
      <c r="P20" t="str">
        <f>IF(SalesTable[[#This Row],[SalesAmount]]&gt;400000,"high sales","low sales")</f>
        <v>low sales</v>
      </c>
      <c r="Q20" t="b">
        <f>AND(SalesTable[[#This Row],[SalesAmount]]&gt;300000,SalesTable[[#This Row],[PaymentMode]]="Cash")</f>
        <v>0</v>
      </c>
      <c r="R20" t="b">
        <f>OR(SalesTable[[#This Row],[SalesAmount]]&gt;300000,SalesTable[[#This Row],[PaymentMode]]="Cash")</f>
        <v>0</v>
      </c>
      <c r="S20" t="b">
        <f>NOT(SalesTable[[#This Row],[SalesAmount]]&gt;500)</f>
        <v>0</v>
      </c>
      <c r="T20">
        <f>IFERROR(SalesTable[[#This Row],[Profit]]/SalesTable[[#This Row],[SalesAmount]],"no sales")</f>
        <v>0.18478260869565216</v>
      </c>
      <c r="U20" t="str">
        <f>UPPER(SalesTable[[#This Row],[Salesperson]])</f>
        <v>PRIYA</v>
      </c>
      <c r="V20" t="str">
        <f>LOWER(SalesTable[[#This Row],[Salesperson]])</f>
        <v>priya</v>
      </c>
      <c r="W20" t="str">
        <f>LEFT(SalesTable[[#This Row],[uppercase ]],2)</f>
        <v>PR</v>
      </c>
      <c r="X20" t="str">
        <f>RIGHT(SalesTable[[#This Row],[uppercase ]],3)</f>
        <v>IYA</v>
      </c>
      <c r="Y20" t="str">
        <f>MID(SalesTable[[#This Row],[uppercase ]],2,2)</f>
        <v>RI</v>
      </c>
      <c r="Z20" t="str">
        <f>_xlfn.CONCAT(SalesTable[[#This Row],[left fn ]],SalesTable[[#This Row],[right]])</f>
        <v>PRIYA</v>
      </c>
      <c r="AA20">
        <f>LEN(SalesTable[[#This Row],[uppercase ]])</f>
        <v>5</v>
      </c>
      <c r="AB20" t="str">
        <f>TRIM(SalesTable[[#This Row],[Segment]])</f>
        <v>Corporate</v>
      </c>
      <c r="AC20" t="str">
        <f>_xlfn.TEXTJOIN("-",TRUE,SalesTable[[#This Row],[lowercase]],SalesTable[[#This Row],[middle]])</f>
        <v>priya-RI</v>
      </c>
      <c r="AD20">
        <f>FIND(SalesTable[[#This Row],[middle]],SalesTable[[#This Row],[concatenate ]],1)</f>
        <v>2</v>
      </c>
      <c r="AE20" s="1">
        <f t="shared" ca="1" si="0"/>
        <v>46087</v>
      </c>
      <c r="AF20" s="2">
        <f t="shared" ca="1" si="1"/>
        <v>46087.6708125</v>
      </c>
      <c r="AG20">
        <f>DAY(SalesTable[[#This Row],[OrderDate]])</f>
        <v>8</v>
      </c>
      <c r="AH20">
        <f>MONTH(SalesTable[[#This Row],[OrderDate]])</f>
        <v>2</v>
      </c>
      <c r="AI20">
        <f>YEAR(SalesTable[[#This Row],[OrderDate]])</f>
        <v>2025</v>
      </c>
      <c r="AJ20" t="str">
        <f>TEXT(SalesTable[[#This Row],[OrderDate]],"dddd")</f>
        <v>Saturday</v>
      </c>
      <c r="AK20">
        <f>WEEKDAY(SalesTable[[#This Row],[OrderDate]])</f>
        <v>7</v>
      </c>
      <c r="AL20" s="3">
        <f t="shared" si="2"/>
        <v>0.4375</v>
      </c>
      <c r="AM20">
        <f>HOUR(SalesTable[[#This Row],[time ]])</f>
        <v>10</v>
      </c>
      <c r="AN20">
        <f>MINUTE(SalesTable[[#This Row],[time ]])</f>
        <v>30</v>
      </c>
    </row>
    <row r="21" spans="1:40" x14ac:dyDescent="0.35">
      <c r="A21">
        <v>1020</v>
      </c>
      <c r="B21" t="s">
        <v>63</v>
      </c>
      <c r="C21" t="s">
        <v>35</v>
      </c>
      <c r="D21" t="s">
        <v>25</v>
      </c>
      <c r="E21" t="s">
        <v>18</v>
      </c>
      <c r="F21" t="s">
        <v>36</v>
      </c>
      <c r="G21" t="s">
        <v>52</v>
      </c>
      <c r="H21">
        <v>18</v>
      </c>
      <c r="I21">
        <v>25000</v>
      </c>
      <c r="J21">
        <v>0</v>
      </c>
      <c r="K21">
        <v>450000</v>
      </c>
      <c r="L21">
        <v>324000</v>
      </c>
      <c r="M21">
        <v>126000</v>
      </c>
      <c r="N21" t="s">
        <v>21</v>
      </c>
      <c r="O21" t="s">
        <v>30</v>
      </c>
      <c r="P21" t="str">
        <f>IF(SalesTable[[#This Row],[SalesAmount]]&gt;400000,"high sales","low sales")</f>
        <v>high sales</v>
      </c>
      <c r="Q21" t="b">
        <f>AND(SalesTable[[#This Row],[SalesAmount]]&gt;300000,SalesTable[[#This Row],[PaymentMode]]="Cash")</f>
        <v>0</v>
      </c>
      <c r="R21" t="b">
        <f>OR(SalesTable[[#This Row],[SalesAmount]]&gt;300000,SalesTable[[#This Row],[PaymentMode]]="Cash")</f>
        <v>1</v>
      </c>
      <c r="S21" t="b">
        <f>NOT(SalesTable[[#This Row],[SalesAmount]]&gt;500)</f>
        <v>0</v>
      </c>
      <c r="T21">
        <f>IFERROR(SalesTable[[#This Row],[Profit]]/SalesTable[[#This Row],[SalesAmount]],"no sales")</f>
        <v>0.28000000000000003</v>
      </c>
      <c r="U21" t="str">
        <f>UPPER(SalesTable[[#This Row],[Salesperson]])</f>
        <v>AMIT</v>
      </c>
      <c r="V21" t="str">
        <f>LOWER(SalesTable[[#This Row],[Salesperson]])</f>
        <v>amit</v>
      </c>
      <c r="W21" t="str">
        <f>LEFT(SalesTable[[#This Row],[uppercase ]],2)</f>
        <v>AM</v>
      </c>
      <c r="X21" t="str">
        <f>RIGHT(SalesTable[[#This Row],[uppercase ]],3)</f>
        <v>MIT</v>
      </c>
      <c r="Y21" t="str">
        <f>MID(SalesTable[[#This Row],[uppercase ]],2,2)</f>
        <v>MI</v>
      </c>
      <c r="Z21" t="str">
        <f>_xlfn.CONCAT(SalesTable[[#This Row],[left fn ]],SalesTable[[#This Row],[right]])</f>
        <v>AMMIT</v>
      </c>
      <c r="AA21">
        <f>LEN(SalesTable[[#This Row],[uppercase ]])</f>
        <v>4</v>
      </c>
      <c r="AB21" t="str">
        <f>TRIM(SalesTable[[#This Row],[Segment]])</f>
        <v>Consumer</v>
      </c>
      <c r="AC21" t="str">
        <f>_xlfn.TEXTJOIN("-",TRUE,SalesTable[[#This Row],[lowercase]],SalesTable[[#This Row],[middle]])</f>
        <v>amit-MI</v>
      </c>
      <c r="AD21">
        <f>FIND(SalesTable[[#This Row],[middle]],SalesTable[[#This Row],[concatenate ]],1)</f>
        <v>3</v>
      </c>
      <c r="AE21" s="1">
        <f t="shared" ca="1" si="0"/>
        <v>46087</v>
      </c>
      <c r="AF21" s="2">
        <f t="shared" ca="1" si="1"/>
        <v>46087.6708125</v>
      </c>
      <c r="AG21">
        <f>DAY(SalesTable[[#This Row],[OrderDate]])</f>
        <v>17</v>
      </c>
      <c r="AH21">
        <f>MONTH(SalesTable[[#This Row],[OrderDate]])</f>
        <v>2</v>
      </c>
      <c r="AI21">
        <f>YEAR(SalesTable[[#This Row],[OrderDate]])</f>
        <v>2025</v>
      </c>
      <c r="AJ21" t="str">
        <f>TEXT(SalesTable[[#This Row],[OrderDate]],"dddd")</f>
        <v>Monday</v>
      </c>
      <c r="AK21">
        <f>WEEKDAY(SalesTable[[#This Row],[OrderDate]])</f>
        <v>2</v>
      </c>
      <c r="AL21" s="3">
        <f t="shared" si="2"/>
        <v>0.4375</v>
      </c>
      <c r="AM21">
        <f>HOUR(SalesTable[[#This Row],[time ]])</f>
        <v>10</v>
      </c>
      <c r="AN21">
        <f>MINUTE(SalesTable[[#This Row],[time ]])</f>
        <v>30</v>
      </c>
    </row>
    <row r="22" spans="1:40" x14ac:dyDescent="0.35">
      <c r="A22">
        <v>1021</v>
      </c>
      <c r="B22" t="s">
        <v>37</v>
      </c>
      <c r="C22" t="s">
        <v>35</v>
      </c>
      <c r="D22" t="s">
        <v>25</v>
      </c>
      <c r="E22" t="s">
        <v>46</v>
      </c>
      <c r="F22" t="s">
        <v>49</v>
      </c>
      <c r="G22" t="s">
        <v>20</v>
      </c>
      <c r="H22">
        <v>7</v>
      </c>
      <c r="I22">
        <v>500</v>
      </c>
      <c r="J22">
        <v>0.05</v>
      </c>
      <c r="K22">
        <v>3325</v>
      </c>
      <c r="L22">
        <v>2450</v>
      </c>
      <c r="M22">
        <v>875</v>
      </c>
      <c r="N22" t="s">
        <v>29</v>
      </c>
      <c r="O22" t="s">
        <v>40</v>
      </c>
      <c r="P22" t="str">
        <f>IF(SalesTable[[#This Row],[SalesAmount]]&gt;400000,"high sales","low sales")</f>
        <v>low sales</v>
      </c>
      <c r="Q22" t="b">
        <f>AND(SalesTable[[#This Row],[SalesAmount]]&gt;300000,SalesTable[[#This Row],[PaymentMode]]="Cash")</f>
        <v>0</v>
      </c>
      <c r="R22" t="b">
        <f>OR(SalesTable[[#This Row],[SalesAmount]]&gt;300000,SalesTable[[#This Row],[PaymentMode]]="Cash")</f>
        <v>1</v>
      </c>
      <c r="S22" t="b">
        <f>NOT(SalesTable[[#This Row],[SalesAmount]]&gt;500)</f>
        <v>0</v>
      </c>
      <c r="T22">
        <f>IFERROR(SalesTable[[#This Row],[Profit]]/SalesTable[[#This Row],[SalesAmount]],"no sales")</f>
        <v>0.26315789473684209</v>
      </c>
      <c r="U22" t="str">
        <f>UPPER(SalesTable[[#This Row],[Salesperson]])</f>
        <v>AMIT</v>
      </c>
      <c r="V22" t="str">
        <f>LOWER(SalesTable[[#This Row],[Salesperson]])</f>
        <v>amit</v>
      </c>
      <c r="W22" t="str">
        <f>LEFT(SalesTable[[#This Row],[uppercase ]],2)</f>
        <v>AM</v>
      </c>
      <c r="X22" t="str">
        <f>RIGHT(SalesTable[[#This Row],[uppercase ]],3)</f>
        <v>MIT</v>
      </c>
      <c r="Y22" t="str">
        <f>MID(SalesTable[[#This Row],[uppercase ]],2,2)</f>
        <v>MI</v>
      </c>
      <c r="Z22" t="str">
        <f>_xlfn.CONCAT(SalesTable[[#This Row],[left fn ]],SalesTable[[#This Row],[right]])</f>
        <v>AMMIT</v>
      </c>
      <c r="AA22">
        <f>LEN(SalesTable[[#This Row],[uppercase ]])</f>
        <v>4</v>
      </c>
      <c r="AB22" t="str">
        <f>TRIM(SalesTable[[#This Row],[Segment]])</f>
        <v>Corporate</v>
      </c>
      <c r="AC22" t="str">
        <f>_xlfn.TEXTJOIN("-",TRUE,SalesTable[[#This Row],[lowercase]],SalesTable[[#This Row],[middle]])</f>
        <v>amit-MI</v>
      </c>
      <c r="AD22">
        <f>FIND(SalesTable[[#This Row],[middle]],SalesTable[[#This Row],[concatenate ]],1)</f>
        <v>3</v>
      </c>
      <c r="AE22" s="1">
        <f t="shared" ca="1" si="0"/>
        <v>46087</v>
      </c>
      <c r="AF22" s="2">
        <f t="shared" ca="1" si="1"/>
        <v>46087.6708125</v>
      </c>
      <c r="AG22">
        <f>DAY(SalesTable[[#This Row],[OrderDate]])</f>
        <v>1</v>
      </c>
      <c r="AH22">
        <f>MONTH(SalesTable[[#This Row],[OrderDate]])</f>
        <v>3</v>
      </c>
      <c r="AI22">
        <f>YEAR(SalesTable[[#This Row],[OrderDate]])</f>
        <v>2025</v>
      </c>
      <c r="AJ22" t="str">
        <f>TEXT(SalesTable[[#This Row],[OrderDate]],"dddd")</f>
        <v>Saturday</v>
      </c>
      <c r="AK22">
        <f>WEEKDAY(SalesTable[[#This Row],[OrderDate]])</f>
        <v>7</v>
      </c>
      <c r="AL22" s="3">
        <f t="shared" si="2"/>
        <v>0.4375</v>
      </c>
      <c r="AM22">
        <f>HOUR(SalesTable[[#This Row],[time ]])</f>
        <v>10</v>
      </c>
      <c r="AN22">
        <f>MINUTE(SalesTable[[#This Row],[time ]])</f>
        <v>30</v>
      </c>
    </row>
    <row r="23" spans="1:40" x14ac:dyDescent="0.35">
      <c r="A23">
        <v>1022</v>
      </c>
      <c r="B23" t="s">
        <v>31</v>
      </c>
      <c r="C23" t="s">
        <v>24</v>
      </c>
      <c r="D23" t="s">
        <v>42</v>
      </c>
      <c r="E23" t="s">
        <v>26</v>
      </c>
      <c r="F23" t="s">
        <v>59</v>
      </c>
      <c r="G23" t="s">
        <v>28</v>
      </c>
      <c r="H23">
        <v>5</v>
      </c>
      <c r="I23">
        <v>2000</v>
      </c>
      <c r="J23">
        <v>0.05</v>
      </c>
      <c r="K23">
        <v>9500</v>
      </c>
      <c r="L23">
        <v>7500</v>
      </c>
      <c r="M23">
        <v>2000</v>
      </c>
      <c r="N23" t="s">
        <v>29</v>
      </c>
      <c r="O23" t="s">
        <v>40</v>
      </c>
      <c r="P23" t="str">
        <f>IF(SalesTable[[#This Row],[SalesAmount]]&gt;400000,"high sales","low sales")</f>
        <v>low sales</v>
      </c>
      <c r="Q23" t="b">
        <f>AND(SalesTable[[#This Row],[SalesAmount]]&gt;300000,SalesTable[[#This Row],[PaymentMode]]="Cash")</f>
        <v>0</v>
      </c>
      <c r="R23" t="b">
        <f>OR(SalesTable[[#This Row],[SalesAmount]]&gt;300000,SalesTable[[#This Row],[PaymentMode]]="Cash")</f>
        <v>1</v>
      </c>
      <c r="S23" t="b">
        <f>NOT(SalesTable[[#This Row],[SalesAmount]]&gt;500)</f>
        <v>0</v>
      </c>
      <c r="T23">
        <f>IFERROR(SalesTable[[#This Row],[Profit]]/SalesTable[[#This Row],[SalesAmount]],"no sales")</f>
        <v>0.21052631578947367</v>
      </c>
      <c r="U23" t="str">
        <f>UPPER(SalesTable[[#This Row],[Salesperson]])</f>
        <v>SNEHA</v>
      </c>
      <c r="V23" t="str">
        <f>LOWER(SalesTable[[#This Row],[Salesperson]])</f>
        <v>sneha</v>
      </c>
      <c r="W23" t="str">
        <f>LEFT(SalesTable[[#This Row],[uppercase ]],2)</f>
        <v>SN</v>
      </c>
      <c r="X23" t="str">
        <f>RIGHT(SalesTable[[#This Row],[uppercase ]],3)</f>
        <v>EHA</v>
      </c>
      <c r="Y23" t="str">
        <f>MID(SalesTable[[#This Row],[uppercase ]],2,2)</f>
        <v>NE</v>
      </c>
      <c r="Z23" t="str">
        <f>_xlfn.CONCAT(SalesTable[[#This Row],[left fn ]],SalesTable[[#This Row],[right]])</f>
        <v>SNEHA</v>
      </c>
      <c r="AA23">
        <f>LEN(SalesTable[[#This Row],[uppercase ]])</f>
        <v>5</v>
      </c>
      <c r="AB23" t="str">
        <f>TRIM(SalesTable[[#This Row],[Segment]])</f>
        <v>Home Office</v>
      </c>
      <c r="AC23" t="str">
        <f>_xlfn.TEXTJOIN("-",TRUE,SalesTable[[#This Row],[lowercase]],SalesTable[[#This Row],[middle]])</f>
        <v>sneha-NE</v>
      </c>
      <c r="AD23">
        <f>FIND(SalesTable[[#This Row],[middle]],SalesTable[[#This Row],[concatenate ]],1)</f>
        <v>2</v>
      </c>
      <c r="AE23" s="1">
        <f t="shared" ca="1" si="0"/>
        <v>46087</v>
      </c>
      <c r="AF23" s="2">
        <f t="shared" ca="1" si="1"/>
        <v>46087.6708125</v>
      </c>
      <c r="AG23">
        <f>DAY(SalesTable[[#This Row],[OrderDate]])</f>
        <v>23</v>
      </c>
      <c r="AH23">
        <f>MONTH(SalesTable[[#This Row],[OrderDate]])</f>
        <v>2</v>
      </c>
      <c r="AI23">
        <f>YEAR(SalesTable[[#This Row],[OrderDate]])</f>
        <v>2025</v>
      </c>
      <c r="AJ23" t="str">
        <f>TEXT(SalesTable[[#This Row],[OrderDate]],"dddd")</f>
        <v>Sunday</v>
      </c>
      <c r="AK23">
        <f>WEEKDAY(SalesTable[[#This Row],[OrderDate]])</f>
        <v>1</v>
      </c>
      <c r="AL23" s="3">
        <f t="shared" si="2"/>
        <v>0.4375</v>
      </c>
      <c r="AM23">
        <f>HOUR(SalesTable[[#This Row],[time ]])</f>
        <v>10</v>
      </c>
      <c r="AN23">
        <f>MINUTE(SalesTable[[#This Row],[time ]])</f>
        <v>30</v>
      </c>
    </row>
    <row r="24" spans="1:40" x14ac:dyDescent="0.35">
      <c r="A24">
        <v>1023</v>
      </c>
      <c r="B24" t="s">
        <v>64</v>
      </c>
      <c r="C24" t="s">
        <v>32</v>
      </c>
      <c r="D24" t="s">
        <v>25</v>
      </c>
      <c r="E24" t="s">
        <v>18</v>
      </c>
      <c r="F24" t="s">
        <v>19</v>
      </c>
      <c r="G24" t="s">
        <v>28</v>
      </c>
      <c r="H24">
        <v>4</v>
      </c>
      <c r="I24">
        <v>3000</v>
      </c>
      <c r="J24">
        <v>0.08</v>
      </c>
      <c r="K24">
        <v>11040</v>
      </c>
      <c r="L24">
        <v>8000</v>
      </c>
      <c r="M24">
        <v>3040</v>
      </c>
      <c r="N24" t="s">
        <v>44</v>
      </c>
      <c r="O24" t="s">
        <v>22</v>
      </c>
      <c r="P24" t="str">
        <f>IF(SalesTable[[#This Row],[SalesAmount]]&gt;400000,"high sales","low sales")</f>
        <v>low sales</v>
      </c>
      <c r="Q24" t="b">
        <f>AND(SalesTable[[#This Row],[SalesAmount]]&gt;300000,SalesTable[[#This Row],[PaymentMode]]="Cash")</f>
        <v>0</v>
      </c>
      <c r="R24" t="b">
        <f>OR(SalesTable[[#This Row],[SalesAmount]]&gt;300000,SalesTable[[#This Row],[PaymentMode]]="Cash")</f>
        <v>0</v>
      </c>
      <c r="S24" t="b">
        <f>NOT(SalesTable[[#This Row],[SalesAmount]]&gt;500)</f>
        <v>0</v>
      </c>
      <c r="T24">
        <f>IFERROR(SalesTable[[#This Row],[Profit]]/SalesTable[[#This Row],[SalesAmount]],"no sales")</f>
        <v>0.27536231884057971</v>
      </c>
      <c r="U24" t="str">
        <f>UPPER(SalesTable[[#This Row],[Salesperson]])</f>
        <v>AMIT</v>
      </c>
      <c r="V24" t="str">
        <f>LOWER(SalesTable[[#This Row],[Salesperson]])</f>
        <v>amit</v>
      </c>
      <c r="W24" t="str">
        <f>LEFT(SalesTable[[#This Row],[uppercase ]],2)</f>
        <v>AM</v>
      </c>
      <c r="X24" t="str">
        <f>RIGHT(SalesTable[[#This Row],[uppercase ]],3)</f>
        <v>MIT</v>
      </c>
      <c r="Y24" t="str">
        <f>MID(SalesTable[[#This Row],[uppercase ]],2,2)</f>
        <v>MI</v>
      </c>
      <c r="Z24" t="str">
        <f>_xlfn.CONCAT(SalesTable[[#This Row],[left fn ]],SalesTable[[#This Row],[right]])</f>
        <v>AMMIT</v>
      </c>
      <c r="AA24">
        <f>LEN(SalesTable[[#This Row],[uppercase ]])</f>
        <v>4</v>
      </c>
      <c r="AB24" t="str">
        <f>TRIM(SalesTable[[#This Row],[Segment]])</f>
        <v>Home Office</v>
      </c>
      <c r="AC24" t="str">
        <f>_xlfn.TEXTJOIN("-",TRUE,SalesTable[[#This Row],[lowercase]],SalesTable[[#This Row],[middle]])</f>
        <v>amit-MI</v>
      </c>
      <c r="AD24">
        <f>FIND(SalesTable[[#This Row],[middle]],SalesTable[[#This Row],[concatenate ]],1)</f>
        <v>3</v>
      </c>
      <c r="AE24" s="1">
        <f t="shared" ca="1" si="0"/>
        <v>46087</v>
      </c>
      <c r="AF24" s="2">
        <f t="shared" ca="1" si="1"/>
        <v>46087.6708125</v>
      </c>
      <c r="AG24">
        <f>DAY(SalesTable[[#This Row],[OrderDate]])</f>
        <v>18</v>
      </c>
      <c r="AH24">
        <f>MONTH(SalesTable[[#This Row],[OrderDate]])</f>
        <v>2</v>
      </c>
      <c r="AI24">
        <f>YEAR(SalesTable[[#This Row],[OrderDate]])</f>
        <v>2025</v>
      </c>
      <c r="AJ24" t="str">
        <f>TEXT(SalesTable[[#This Row],[OrderDate]],"dddd")</f>
        <v>Tuesday</v>
      </c>
      <c r="AK24">
        <f>WEEKDAY(SalesTable[[#This Row],[OrderDate]])</f>
        <v>3</v>
      </c>
      <c r="AL24" s="3">
        <f t="shared" si="2"/>
        <v>0.4375</v>
      </c>
      <c r="AM24">
        <f>HOUR(SalesTable[[#This Row],[time ]])</f>
        <v>10</v>
      </c>
      <c r="AN24">
        <f>MINUTE(SalesTable[[#This Row],[time ]])</f>
        <v>30</v>
      </c>
    </row>
    <row r="25" spans="1:40" x14ac:dyDescent="0.35">
      <c r="A25">
        <v>1024</v>
      </c>
      <c r="B25" t="s">
        <v>65</v>
      </c>
      <c r="C25" t="s">
        <v>32</v>
      </c>
      <c r="D25" t="s">
        <v>25</v>
      </c>
      <c r="E25" t="s">
        <v>18</v>
      </c>
      <c r="F25" t="s">
        <v>38</v>
      </c>
      <c r="G25" t="s">
        <v>20</v>
      </c>
      <c r="H25">
        <v>4</v>
      </c>
      <c r="I25">
        <v>35000</v>
      </c>
      <c r="J25">
        <v>0</v>
      </c>
      <c r="K25">
        <v>140000</v>
      </c>
      <c r="L25">
        <v>100000</v>
      </c>
      <c r="M25">
        <v>40000</v>
      </c>
      <c r="N25" t="s">
        <v>39</v>
      </c>
      <c r="O25" t="s">
        <v>22</v>
      </c>
      <c r="P25" t="str">
        <f>IF(SalesTable[[#This Row],[SalesAmount]]&gt;400000,"high sales","low sales")</f>
        <v>low sales</v>
      </c>
      <c r="Q25" t="b">
        <f>AND(SalesTable[[#This Row],[SalesAmount]]&gt;300000,SalesTable[[#This Row],[PaymentMode]]="Cash")</f>
        <v>0</v>
      </c>
      <c r="R25" t="b">
        <f>OR(SalesTable[[#This Row],[SalesAmount]]&gt;300000,SalesTable[[#This Row],[PaymentMode]]="Cash")</f>
        <v>0</v>
      </c>
      <c r="S25" t="b">
        <f>NOT(SalesTable[[#This Row],[SalesAmount]]&gt;500)</f>
        <v>0</v>
      </c>
      <c r="T25">
        <f>IFERROR(SalesTable[[#This Row],[Profit]]/SalesTable[[#This Row],[SalesAmount]],"no sales")</f>
        <v>0.2857142857142857</v>
      </c>
      <c r="U25" t="str">
        <f>UPPER(SalesTable[[#This Row],[Salesperson]])</f>
        <v>AMIT</v>
      </c>
      <c r="V25" t="str">
        <f>LOWER(SalesTable[[#This Row],[Salesperson]])</f>
        <v>amit</v>
      </c>
      <c r="W25" t="str">
        <f>LEFT(SalesTable[[#This Row],[uppercase ]],2)</f>
        <v>AM</v>
      </c>
      <c r="X25" t="str">
        <f>RIGHT(SalesTable[[#This Row],[uppercase ]],3)</f>
        <v>MIT</v>
      </c>
      <c r="Y25" t="str">
        <f>MID(SalesTable[[#This Row],[uppercase ]],2,2)</f>
        <v>MI</v>
      </c>
      <c r="Z25" t="str">
        <f>_xlfn.CONCAT(SalesTable[[#This Row],[left fn ]],SalesTable[[#This Row],[right]])</f>
        <v>AMMIT</v>
      </c>
      <c r="AA25">
        <f>LEN(SalesTable[[#This Row],[uppercase ]])</f>
        <v>4</v>
      </c>
      <c r="AB25" t="str">
        <f>TRIM(SalesTable[[#This Row],[Segment]])</f>
        <v>Corporate</v>
      </c>
      <c r="AC25" t="str">
        <f>_xlfn.TEXTJOIN("-",TRUE,SalesTable[[#This Row],[lowercase]],SalesTable[[#This Row],[middle]])</f>
        <v>amit-MI</v>
      </c>
      <c r="AD25">
        <f>FIND(SalesTable[[#This Row],[middle]],SalesTable[[#This Row],[concatenate ]],1)</f>
        <v>3</v>
      </c>
      <c r="AE25" s="1">
        <f t="shared" ca="1" si="0"/>
        <v>46087</v>
      </c>
      <c r="AF25" s="2">
        <f t="shared" ca="1" si="1"/>
        <v>46087.6708125</v>
      </c>
      <c r="AG25">
        <f>DAY(SalesTable[[#This Row],[OrderDate]])</f>
        <v>16</v>
      </c>
      <c r="AH25">
        <f>MONTH(SalesTable[[#This Row],[OrderDate]])</f>
        <v>1</v>
      </c>
      <c r="AI25">
        <f>YEAR(SalesTable[[#This Row],[OrderDate]])</f>
        <v>2025</v>
      </c>
      <c r="AJ25" t="str">
        <f>TEXT(SalesTable[[#This Row],[OrderDate]],"dddd")</f>
        <v>Thursday</v>
      </c>
      <c r="AK25">
        <f>WEEKDAY(SalesTable[[#This Row],[OrderDate]])</f>
        <v>5</v>
      </c>
      <c r="AL25" s="3">
        <f t="shared" si="2"/>
        <v>0.4375</v>
      </c>
      <c r="AM25">
        <f>HOUR(SalesTable[[#This Row],[time ]])</f>
        <v>10</v>
      </c>
      <c r="AN25">
        <f>MINUTE(SalesTable[[#This Row],[time ]])</f>
        <v>30</v>
      </c>
    </row>
    <row r="26" spans="1:40" x14ac:dyDescent="0.35">
      <c r="A26">
        <v>1025</v>
      </c>
      <c r="B26" t="s">
        <v>66</v>
      </c>
      <c r="C26" t="s">
        <v>32</v>
      </c>
      <c r="D26" t="s">
        <v>17</v>
      </c>
      <c r="E26" t="s">
        <v>26</v>
      </c>
      <c r="F26" t="s">
        <v>59</v>
      </c>
      <c r="G26" t="s">
        <v>20</v>
      </c>
      <c r="H26">
        <v>19</v>
      </c>
      <c r="I26">
        <v>2000</v>
      </c>
      <c r="J26">
        <v>0.15</v>
      </c>
      <c r="K26">
        <v>32300</v>
      </c>
      <c r="L26">
        <v>28500</v>
      </c>
      <c r="M26">
        <v>3800</v>
      </c>
      <c r="N26" t="s">
        <v>44</v>
      </c>
      <c r="O26" t="s">
        <v>22</v>
      </c>
      <c r="P26" t="str">
        <f>IF(SalesTable[[#This Row],[SalesAmount]]&gt;400000,"high sales","low sales")</f>
        <v>low sales</v>
      </c>
      <c r="Q26" t="b">
        <f>AND(SalesTable[[#This Row],[SalesAmount]]&gt;300000,SalesTable[[#This Row],[PaymentMode]]="Cash")</f>
        <v>0</v>
      </c>
      <c r="R26" t="b">
        <f>OR(SalesTable[[#This Row],[SalesAmount]]&gt;300000,SalesTable[[#This Row],[PaymentMode]]="Cash")</f>
        <v>0</v>
      </c>
      <c r="S26" t="b">
        <f>NOT(SalesTable[[#This Row],[SalesAmount]]&gt;500)</f>
        <v>0</v>
      </c>
      <c r="T26">
        <f>IFERROR(SalesTable[[#This Row],[Profit]]/SalesTable[[#This Row],[SalesAmount]],"no sales")</f>
        <v>0.11764705882352941</v>
      </c>
      <c r="U26" t="str">
        <f>UPPER(SalesTable[[#This Row],[Salesperson]])</f>
        <v>PRIYA</v>
      </c>
      <c r="V26" t="str">
        <f>LOWER(SalesTable[[#This Row],[Salesperson]])</f>
        <v>priya</v>
      </c>
      <c r="W26" t="str">
        <f>LEFT(SalesTable[[#This Row],[uppercase ]],2)</f>
        <v>PR</v>
      </c>
      <c r="X26" t="str">
        <f>RIGHT(SalesTable[[#This Row],[uppercase ]],3)</f>
        <v>IYA</v>
      </c>
      <c r="Y26" t="str">
        <f>MID(SalesTable[[#This Row],[uppercase ]],2,2)</f>
        <v>RI</v>
      </c>
      <c r="Z26" t="str">
        <f>_xlfn.CONCAT(SalesTable[[#This Row],[left fn ]],SalesTable[[#This Row],[right]])</f>
        <v>PRIYA</v>
      </c>
      <c r="AA26">
        <f>LEN(SalesTable[[#This Row],[uppercase ]])</f>
        <v>5</v>
      </c>
      <c r="AB26" t="str">
        <f>TRIM(SalesTable[[#This Row],[Segment]])</f>
        <v>Corporate</v>
      </c>
      <c r="AC26" t="str">
        <f>_xlfn.TEXTJOIN("-",TRUE,SalesTable[[#This Row],[lowercase]],SalesTable[[#This Row],[middle]])</f>
        <v>priya-RI</v>
      </c>
      <c r="AD26">
        <f>FIND(SalesTable[[#This Row],[middle]],SalesTable[[#This Row],[concatenate ]],1)</f>
        <v>2</v>
      </c>
      <c r="AE26" s="1">
        <f t="shared" ca="1" si="0"/>
        <v>46087</v>
      </c>
      <c r="AF26" s="2">
        <f t="shared" ca="1" si="1"/>
        <v>46087.6708125</v>
      </c>
      <c r="AG26">
        <f>DAY(SalesTable[[#This Row],[OrderDate]])</f>
        <v>1</v>
      </c>
      <c r="AH26">
        <f>MONTH(SalesTable[[#This Row],[OrderDate]])</f>
        <v>1</v>
      </c>
      <c r="AI26">
        <f>YEAR(SalesTable[[#This Row],[OrderDate]])</f>
        <v>2025</v>
      </c>
      <c r="AJ26" t="str">
        <f>TEXT(SalesTable[[#This Row],[OrderDate]],"dddd")</f>
        <v>Wednesday</v>
      </c>
      <c r="AK26">
        <f>WEEKDAY(SalesTable[[#This Row],[OrderDate]])</f>
        <v>4</v>
      </c>
      <c r="AL26" s="3">
        <f t="shared" si="2"/>
        <v>0.4375</v>
      </c>
      <c r="AM26">
        <f>HOUR(SalesTable[[#This Row],[time ]])</f>
        <v>10</v>
      </c>
      <c r="AN26">
        <f>MINUTE(SalesTable[[#This Row],[time ]])</f>
        <v>30</v>
      </c>
    </row>
    <row r="27" spans="1:40" x14ac:dyDescent="0.35">
      <c r="A27">
        <v>1026</v>
      </c>
      <c r="B27" t="s">
        <v>67</v>
      </c>
      <c r="C27" t="s">
        <v>35</v>
      </c>
      <c r="D27" t="s">
        <v>25</v>
      </c>
      <c r="E27" t="s">
        <v>46</v>
      </c>
      <c r="F27" t="s">
        <v>49</v>
      </c>
      <c r="G27" t="s">
        <v>20</v>
      </c>
      <c r="H27">
        <v>17</v>
      </c>
      <c r="I27">
        <v>500</v>
      </c>
      <c r="J27">
        <v>0.05</v>
      </c>
      <c r="K27">
        <v>8075</v>
      </c>
      <c r="L27">
        <v>5950</v>
      </c>
      <c r="M27">
        <v>2125</v>
      </c>
      <c r="N27" t="s">
        <v>21</v>
      </c>
      <c r="O27" t="s">
        <v>40</v>
      </c>
      <c r="P27" t="str">
        <f>IF(SalesTable[[#This Row],[SalesAmount]]&gt;400000,"high sales","low sales")</f>
        <v>low sales</v>
      </c>
      <c r="Q27" t="b">
        <f>AND(SalesTable[[#This Row],[SalesAmount]]&gt;300000,SalesTable[[#This Row],[PaymentMode]]="Cash")</f>
        <v>0</v>
      </c>
      <c r="R27" t="b">
        <f>OR(SalesTable[[#This Row],[SalesAmount]]&gt;300000,SalesTable[[#This Row],[PaymentMode]]="Cash")</f>
        <v>0</v>
      </c>
      <c r="S27" t="b">
        <f>NOT(SalesTable[[#This Row],[SalesAmount]]&gt;500)</f>
        <v>0</v>
      </c>
      <c r="T27">
        <f>IFERROR(SalesTable[[#This Row],[Profit]]/SalesTable[[#This Row],[SalesAmount]],"no sales")</f>
        <v>0.26315789473684209</v>
      </c>
      <c r="U27" t="str">
        <f>UPPER(SalesTable[[#This Row],[Salesperson]])</f>
        <v>AMIT</v>
      </c>
      <c r="V27" t="str">
        <f>LOWER(SalesTable[[#This Row],[Salesperson]])</f>
        <v>amit</v>
      </c>
      <c r="W27" t="str">
        <f>LEFT(SalesTable[[#This Row],[uppercase ]],2)</f>
        <v>AM</v>
      </c>
      <c r="X27" t="str">
        <f>RIGHT(SalesTable[[#This Row],[uppercase ]],3)</f>
        <v>MIT</v>
      </c>
      <c r="Y27" t="str">
        <f>MID(SalesTable[[#This Row],[uppercase ]],2,2)</f>
        <v>MI</v>
      </c>
      <c r="Z27" t="str">
        <f>_xlfn.CONCAT(SalesTable[[#This Row],[left fn ]],SalesTable[[#This Row],[right]])</f>
        <v>AMMIT</v>
      </c>
      <c r="AA27">
        <f>LEN(SalesTable[[#This Row],[uppercase ]])</f>
        <v>4</v>
      </c>
      <c r="AB27" t="str">
        <f>TRIM(SalesTable[[#This Row],[Segment]])</f>
        <v>Corporate</v>
      </c>
      <c r="AC27" t="str">
        <f>_xlfn.TEXTJOIN("-",TRUE,SalesTable[[#This Row],[lowercase]],SalesTable[[#This Row],[middle]])</f>
        <v>amit-MI</v>
      </c>
      <c r="AD27">
        <f>FIND(SalesTable[[#This Row],[middle]],SalesTable[[#This Row],[concatenate ]],1)</f>
        <v>3</v>
      </c>
      <c r="AE27" s="1">
        <f t="shared" ca="1" si="0"/>
        <v>46087</v>
      </c>
      <c r="AF27" s="2">
        <f t="shared" ca="1" si="1"/>
        <v>46087.6708125</v>
      </c>
      <c r="AG27">
        <f>DAY(SalesTable[[#This Row],[OrderDate]])</f>
        <v>4</v>
      </c>
      <c r="AH27">
        <f>MONTH(SalesTable[[#This Row],[OrderDate]])</f>
        <v>1</v>
      </c>
      <c r="AI27">
        <f>YEAR(SalesTable[[#This Row],[OrderDate]])</f>
        <v>2025</v>
      </c>
      <c r="AJ27" t="str">
        <f>TEXT(SalesTable[[#This Row],[OrderDate]],"dddd")</f>
        <v>Saturday</v>
      </c>
      <c r="AK27">
        <f>WEEKDAY(SalesTable[[#This Row],[OrderDate]])</f>
        <v>7</v>
      </c>
      <c r="AL27" s="3">
        <f t="shared" si="2"/>
        <v>0.4375</v>
      </c>
      <c r="AM27">
        <f>HOUR(SalesTable[[#This Row],[time ]])</f>
        <v>10</v>
      </c>
      <c r="AN27">
        <f>MINUTE(SalesTable[[#This Row],[time ]])</f>
        <v>30</v>
      </c>
    </row>
    <row r="28" spans="1:40" x14ac:dyDescent="0.35">
      <c r="A28">
        <v>1027</v>
      </c>
      <c r="B28" t="s">
        <v>68</v>
      </c>
      <c r="C28" t="s">
        <v>16</v>
      </c>
      <c r="D28" t="s">
        <v>17</v>
      </c>
      <c r="E28" t="s">
        <v>26</v>
      </c>
      <c r="F28" t="s">
        <v>33</v>
      </c>
      <c r="G28" t="s">
        <v>20</v>
      </c>
      <c r="H28">
        <v>16</v>
      </c>
      <c r="I28">
        <v>20000</v>
      </c>
      <c r="J28">
        <v>0.02</v>
      </c>
      <c r="K28">
        <v>313600</v>
      </c>
      <c r="L28">
        <v>240000</v>
      </c>
      <c r="M28">
        <v>73600</v>
      </c>
      <c r="N28" t="s">
        <v>29</v>
      </c>
      <c r="O28" t="s">
        <v>40</v>
      </c>
      <c r="P28" t="str">
        <f>IF(SalesTable[[#This Row],[SalesAmount]]&gt;400000,"high sales","low sales")</f>
        <v>low sales</v>
      </c>
      <c r="Q28" t="b">
        <f>AND(SalesTable[[#This Row],[SalesAmount]]&gt;300000,SalesTable[[#This Row],[PaymentMode]]="Cash")</f>
        <v>1</v>
      </c>
      <c r="R28" t="b">
        <f>OR(SalesTable[[#This Row],[SalesAmount]]&gt;300000,SalesTable[[#This Row],[PaymentMode]]="Cash")</f>
        <v>1</v>
      </c>
      <c r="S28" t="b">
        <f>NOT(SalesTable[[#This Row],[SalesAmount]]&gt;500)</f>
        <v>0</v>
      </c>
      <c r="T28">
        <f>IFERROR(SalesTable[[#This Row],[Profit]]/SalesTable[[#This Row],[SalesAmount]],"no sales")</f>
        <v>0.23469387755102042</v>
      </c>
      <c r="U28" t="str">
        <f>UPPER(SalesTable[[#This Row],[Salesperson]])</f>
        <v>PRIYA</v>
      </c>
      <c r="V28" t="str">
        <f>LOWER(SalesTable[[#This Row],[Salesperson]])</f>
        <v>priya</v>
      </c>
      <c r="W28" t="str">
        <f>LEFT(SalesTable[[#This Row],[uppercase ]],2)</f>
        <v>PR</v>
      </c>
      <c r="X28" t="str">
        <f>RIGHT(SalesTable[[#This Row],[uppercase ]],3)</f>
        <v>IYA</v>
      </c>
      <c r="Y28" t="str">
        <f>MID(SalesTable[[#This Row],[uppercase ]],2,2)</f>
        <v>RI</v>
      </c>
      <c r="Z28" t="str">
        <f>_xlfn.CONCAT(SalesTable[[#This Row],[left fn ]],SalesTable[[#This Row],[right]])</f>
        <v>PRIYA</v>
      </c>
      <c r="AA28">
        <f>LEN(SalesTable[[#This Row],[uppercase ]])</f>
        <v>5</v>
      </c>
      <c r="AB28" t="str">
        <f>TRIM(SalesTable[[#This Row],[Segment]])</f>
        <v>Corporate</v>
      </c>
      <c r="AC28" t="str">
        <f>_xlfn.TEXTJOIN("-",TRUE,SalesTable[[#This Row],[lowercase]],SalesTable[[#This Row],[middle]])</f>
        <v>priya-RI</v>
      </c>
      <c r="AD28">
        <f>FIND(SalesTable[[#This Row],[middle]],SalesTable[[#This Row],[concatenate ]],1)</f>
        <v>2</v>
      </c>
      <c r="AE28" s="1">
        <f t="shared" ca="1" si="0"/>
        <v>46087</v>
      </c>
      <c r="AF28" s="2">
        <f t="shared" ca="1" si="1"/>
        <v>46087.6708125</v>
      </c>
      <c r="AG28">
        <f>DAY(SalesTable[[#This Row],[OrderDate]])</f>
        <v>2</v>
      </c>
      <c r="AH28">
        <f>MONTH(SalesTable[[#This Row],[OrderDate]])</f>
        <v>2</v>
      </c>
      <c r="AI28">
        <f>YEAR(SalesTable[[#This Row],[OrderDate]])</f>
        <v>2025</v>
      </c>
      <c r="AJ28" t="str">
        <f>TEXT(SalesTable[[#This Row],[OrderDate]],"dddd")</f>
        <v>Sunday</v>
      </c>
      <c r="AK28">
        <f>WEEKDAY(SalesTable[[#This Row],[OrderDate]])</f>
        <v>1</v>
      </c>
      <c r="AL28" s="3">
        <f t="shared" si="2"/>
        <v>0.4375</v>
      </c>
      <c r="AM28">
        <f>HOUR(SalesTable[[#This Row],[time ]])</f>
        <v>10</v>
      </c>
      <c r="AN28">
        <f>MINUTE(SalesTable[[#This Row],[time ]])</f>
        <v>30</v>
      </c>
    </row>
    <row r="29" spans="1:40" x14ac:dyDescent="0.35">
      <c r="A29">
        <v>1028</v>
      </c>
      <c r="B29" t="s">
        <v>69</v>
      </c>
      <c r="C29" t="s">
        <v>16</v>
      </c>
      <c r="D29" t="s">
        <v>54</v>
      </c>
      <c r="E29" t="s">
        <v>18</v>
      </c>
      <c r="F29" t="s">
        <v>36</v>
      </c>
      <c r="G29" t="s">
        <v>20</v>
      </c>
      <c r="H29">
        <v>9</v>
      </c>
      <c r="I29">
        <v>25000</v>
      </c>
      <c r="J29">
        <v>0.15</v>
      </c>
      <c r="K29">
        <v>191250</v>
      </c>
      <c r="L29">
        <v>162000</v>
      </c>
      <c r="M29">
        <v>29250</v>
      </c>
      <c r="N29" t="s">
        <v>29</v>
      </c>
      <c r="O29" t="s">
        <v>40</v>
      </c>
      <c r="P29" t="str">
        <f>IF(SalesTable[[#This Row],[SalesAmount]]&gt;400000,"high sales","low sales")</f>
        <v>low sales</v>
      </c>
      <c r="Q29" t="b">
        <f>AND(SalesTable[[#This Row],[SalesAmount]]&gt;300000,SalesTable[[#This Row],[PaymentMode]]="Cash")</f>
        <v>0</v>
      </c>
      <c r="R29" t="b">
        <f>OR(SalesTable[[#This Row],[SalesAmount]]&gt;300000,SalesTable[[#This Row],[PaymentMode]]="Cash")</f>
        <v>1</v>
      </c>
      <c r="S29" t="b">
        <f>NOT(SalesTable[[#This Row],[SalesAmount]]&gt;500)</f>
        <v>0</v>
      </c>
      <c r="T29">
        <f>IFERROR(SalesTable[[#This Row],[Profit]]/SalesTable[[#This Row],[SalesAmount]],"no sales")</f>
        <v>0.15294117647058825</v>
      </c>
      <c r="U29" t="str">
        <f>UPPER(SalesTable[[#This Row],[Salesperson]])</f>
        <v>RAHUL</v>
      </c>
      <c r="V29" t="str">
        <f>LOWER(SalesTable[[#This Row],[Salesperson]])</f>
        <v>rahul</v>
      </c>
      <c r="W29" t="str">
        <f>LEFT(SalesTable[[#This Row],[uppercase ]],2)</f>
        <v>RA</v>
      </c>
      <c r="X29" t="str">
        <f>RIGHT(SalesTable[[#This Row],[uppercase ]],3)</f>
        <v>HUL</v>
      </c>
      <c r="Y29" t="str">
        <f>MID(SalesTable[[#This Row],[uppercase ]],2,2)</f>
        <v>AH</v>
      </c>
      <c r="Z29" t="str">
        <f>_xlfn.CONCAT(SalesTable[[#This Row],[left fn ]],SalesTable[[#This Row],[right]])</f>
        <v>RAHUL</v>
      </c>
      <c r="AA29">
        <f>LEN(SalesTable[[#This Row],[uppercase ]])</f>
        <v>5</v>
      </c>
      <c r="AB29" t="str">
        <f>TRIM(SalesTable[[#This Row],[Segment]])</f>
        <v>Corporate</v>
      </c>
      <c r="AC29" t="str">
        <f>_xlfn.TEXTJOIN("-",TRUE,SalesTable[[#This Row],[lowercase]],SalesTable[[#This Row],[middle]])</f>
        <v>rahul-AH</v>
      </c>
      <c r="AD29">
        <f>FIND(SalesTable[[#This Row],[middle]],SalesTable[[#This Row],[concatenate ]],1)</f>
        <v>2</v>
      </c>
      <c r="AE29" s="1">
        <f t="shared" ca="1" si="0"/>
        <v>46087</v>
      </c>
      <c r="AF29" s="2">
        <f t="shared" ca="1" si="1"/>
        <v>46087.6708125</v>
      </c>
      <c r="AG29">
        <f>DAY(SalesTable[[#This Row],[OrderDate]])</f>
        <v>15</v>
      </c>
      <c r="AH29">
        <f>MONTH(SalesTable[[#This Row],[OrderDate]])</f>
        <v>1</v>
      </c>
      <c r="AI29">
        <f>YEAR(SalesTable[[#This Row],[OrderDate]])</f>
        <v>2025</v>
      </c>
      <c r="AJ29" t="str">
        <f>TEXT(SalesTable[[#This Row],[OrderDate]],"dddd")</f>
        <v>Wednesday</v>
      </c>
      <c r="AK29">
        <f>WEEKDAY(SalesTable[[#This Row],[OrderDate]])</f>
        <v>4</v>
      </c>
      <c r="AL29" s="3">
        <f t="shared" si="2"/>
        <v>0.4375</v>
      </c>
      <c r="AM29">
        <f>HOUR(SalesTable[[#This Row],[time ]])</f>
        <v>10</v>
      </c>
      <c r="AN29">
        <f>MINUTE(SalesTable[[#This Row],[time ]])</f>
        <v>30</v>
      </c>
    </row>
    <row r="30" spans="1:40" x14ac:dyDescent="0.35">
      <c r="A30">
        <v>1029</v>
      </c>
      <c r="B30" t="s">
        <v>70</v>
      </c>
      <c r="C30" t="s">
        <v>16</v>
      </c>
      <c r="D30" t="s">
        <v>42</v>
      </c>
      <c r="E30" t="s">
        <v>18</v>
      </c>
      <c r="F30" t="s">
        <v>43</v>
      </c>
      <c r="G30" t="s">
        <v>28</v>
      </c>
      <c r="H30">
        <v>20</v>
      </c>
      <c r="I30">
        <v>12000</v>
      </c>
      <c r="J30">
        <v>0.15</v>
      </c>
      <c r="K30">
        <v>204000</v>
      </c>
      <c r="L30">
        <v>160000</v>
      </c>
      <c r="M30">
        <v>44000</v>
      </c>
      <c r="N30" t="s">
        <v>21</v>
      </c>
      <c r="O30" t="s">
        <v>30</v>
      </c>
      <c r="P30" t="str">
        <f>IF(SalesTable[[#This Row],[SalesAmount]]&gt;400000,"high sales","low sales")</f>
        <v>low sales</v>
      </c>
      <c r="Q30" t="b">
        <f>AND(SalesTable[[#This Row],[SalesAmount]]&gt;300000,SalesTable[[#This Row],[PaymentMode]]="Cash")</f>
        <v>0</v>
      </c>
      <c r="R30" t="b">
        <f>OR(SalesTable[[#This Row],[SalesAmount]]&gt;300000,SalesTable[[#This Row],[PaymentMode]]="Cash")</f>
        <v>0</v>
      </c>
      <c r="S30" t="b">
        <f>NOT(SalesTable[[#This Row],[SalesAmount]]&gt;500)</f>
        <v>0</v>
      </c>
      <c r="T30">
        <f>IFERROR(SalesTable[[#This Row],[Profit]]/SalesTable[[#This Row],[SalesAmount]],"no sales")</f>
        <v>0.21568627450980393</v>
      </c>
      <c r="U30" t="str">
        <f>UPPER(SalesTable[[#This Row],[Salesperson]])</f>
        <v>SNEHA</v>
      </c>
      <c r="V30" t="str">
        <f>LOWER(SalesTable[[#This Row],[Salesperson]])</f>
        <v>sneha</v>
      </c>
      <c r="W30" t="str">
        <f>LEFT(SalesTable[[#This Row],[uppercase ]],2)</f>
        <v>SN</v>
      </c>
      <c r="X30" t="str">
        <f>RIGHT(SalesTable[[#This Row],[uppercase ]],3)</f>
        <v>EHA</v>
      </c>
      <c r="Y30" t="str">
        <f>MID(SalesTable[[#This Row],[uppercase ]],2,2)</f>
        <v>NE</v>
      </c>
      <c r="Z30" t="str">
        <f>_xlfn.CONCAT(SalesTable[[#This Row],[left fn ]],SalesTable[[#This Row],[right]])</f>
        <v>SNEHA</v>
      </c>
      <c r="AA30">
        <f>LEN(SalesTable[[#This Row],[uppercase ]])</f>
        <v>5</v>
      </c>
      <c r="AB30" t="str">
        <f>TRIM(SalesTable[[#This Row],[Segment]])</f>
        <v>Home Office</v>
      </c>
      <c r="AC30" t="str">
        <f>_xlfn.TEXTJOIN("-",TRUE,SalesTable[[#This Row],[lowercase]],SalesTable[[#This Row],[middle]])</f>
        <v>sneha-NE</v>
      </c>
      <c r="AD30">
        <f>FIND(SalesTable[[#This Row],[middle]],SalesTable[[#This Row],[concatenate ]],1)</f>
        <v>2</v>
      </c>
      <c r="AE30" s="1">
        <f t="shared" ca="1" si="0"/>
        <v>46087</v>
      </c>
      <c r="AF30" s="2">
        <f t="shared" ca="1" si="1"/>
        <v>46087.6708125</v>
      </c>
      <c r="AG30">
        <f>DAY(SalesTable[[#This Row],[OrderDate]])</f>
        <v>4</v>
      </c>
      <c r="AH30">
        <f>MONTH(SalesTable[[#This Row],[OrderDate]])</f>
        <v>2</v>
      </c>
      <c r="AI30">
        <f>YEAR(SalesTable[[#This Row],[OrderDate]])</f>
        <v>2025</v>
      </c>
      <c r="AJ30" t="str">
        <f>TEXT(SalesTable[[#This Row],[OrderDate]],"dddd")</f>
        <v>Tuesday</v>
      </c>
      <c r="AK30">
        <f>WEEKDAY(SalesTable[[#This Row],[OrderDate]])</f>
        <v>3</v>
      </c>
      <c r="AL30" s="3">
        <f t="shared" si="2"/>
        <v>0.4375</v>
      </c>
      <c r="AM30">
        <f>HOUR(SalesTable[[#This Row],[time ]])</f>
        <v>10</v>
      </c>
      <c r="AN30">
        <f>MINUTE(SalesTable[[#This Row],[time ]])</f>
        <v>30</v>
      </c>
    </row>
    <row r="31" spans="1:40" x14ac:dyDescent="0.35">
      <c r="A31">
        <v>1030</v>
      </c>
      <c r="B31" t="s">
        <v>51</v>
      </c>
      <c r="C31" t="s">
        <v>35</v>
      </c>
      <c r="D31" t="s">
        <v>54</v>
      </c>
      <c r="E31" t="s">
        <v>26</v>
      </c>
      <c r="F31" t="s">
        <v>27</v>
      </c>
      <c r="G31" t="s">
        <v>20</v>
      </c>
      <c r="H31">
        <v>13</v>
      </c>
      <c r="I31">
        <v>15000</v>
      </c>
      <c r="J31">
        <v>0.1</v>
      </c>
      <c r="K31">
        <v>175500</v>
      </c>
      <c r="L31">
        <v>156000</v>
      </c>
      <c r="M31">
        <v>19500</v>
      </c>
      <c r="N31" t="s">
        <v>21</v>
      </c>
      <c r="O31" t="s">
        <v>30</v>
      </c>
      <c r="P31" t="str">
        <f>IF(SalesTable[[#This Row],[SalesAmount]]&gt;400000,"high sales","low sales")</f>
        <v>low sales</v>
      </c>
      <c r="Q31" t="b">
        <f>AND(SalesTable[[#This Row],[SalesAmount]]&gt;300000,SalesTable[[#This Row],[PaymentMode]]="Cash")</f>
        <v>0</v>
      </c>
      <c r="R31" t="b">
        <f>OR(SalesTable[[#This Row],[SalesAmount]]&gt;300000,SalesTable[[#This Row],[PaymentMode]]="Cash")</f>
        <v>0</v>
      </c>
      <c r="S31" t="b">
        <f>NOT(SalesTable[[#This Row],[SalesAmount]]&gt;500)</f>
        <v>0</v>
      </c>
      <c r="T31">
        <f>IFERROR(SalesTable[[#This Row],[Profit]]/SalesTable[[#This Row],[SalesAmount]],"no sales")</f>
        <v>0.1111111111111111</v>
      </c>
      <c r="U31" t="str">
        <f>UPPER(SalesTable[[#This Row],[Salesperson]])</f>
        <v>RAHUL</v>
      </c>
      <c r="V31" t="str">
        <f>LOWER(SalesTable[[#This Row],[Salesperson]])</f>
        <v>rahul</v>
      </c>
      <c r="W31" t="str">
        <f>LEFT(SalesTable[[#This Row],[uppercase ]],2)</f>
        <v>RA</v>
      </c>
      <c r="X31" t="str">
        <f>RIGHT(SalesTable[[#This Row],[uppercase ]],3)</f>
        <v>HUL</v>
      </c>
      <c r="Y31" t="str">
        <f>MID(SalesTable[[#This Row],[uppercase ]],2,2)</f>
        <v>AH</v>
      </c>
      <c r="Z31" t="str">
        <f>_xlfn.CONCAT(SalesTable[[#This Row],[left fn ]],SalesTable[[#This Row],[right]])</f>
        <v>RAHUL</v>
      </c>
      <c r="AA31">
        <f>LEN(SalesTable[[#This Row],[uppercase ]])</f>
        <v>5</v>
      </c>
      <c r="AB31" t="str">
        <f>TRIM(SalesTable[[#This Row],[Segment]])</f>
        <v>Corporate</v>
      </c>
      <c r="AC31" t="str">
        <f>_xlfn.TEXTJOIN("-",TRUE,SalesTable[[#This Row],[lowercase]],SalesTable[[#This Row],[middle]])</f>
        <v>rahul-AH</v>
      </c>
      <c r="AD31">
        <f>FIND(SalesTable[[#This Row],[middle]],SalesTable[[#This Row],[concatenate ]],1)</f>
        <v>2</v>
      </c>
      <c r="AE31" s="1">
        <f t="shared" ca="1" si="0"/>
        <v>46087</v>
      </c>
      <c r="AF31" s="2">
        <f t="shared" ca="1" si="1"/>
        <v>46087.6708125</v>
      </c>
      <c r="AG31">
        <f>DAY(SalesTable[[#This Row],[OrderDate]])</f>
        <v>28</v>
      </c>
      <c r="AH31">
        <f>MONTH(SalesTable[[#This Row],[OrderDate]])</f>
        <v>1</v>
      </c>
      <c r="AI31">
        <f>YEAR(SalesTable[[#This Row],[OrderDate]])</f>
        <v>2025</v>
      </c>
      <c r="AJ31" t="str">
        <f>TEXT(SalesTable[[#This Row],[OrderDate]],"dddd")</f>
        <v>Tuesday</v>
      </c>
      <c r="AK31">
        <f>WEEKDAY(SalesTable[[#This Row],[OrderDate]])</f>
        <v>3</v>
      </c>
      <c r="AL31" s="3">
        <f t="shared" si="2"/>
        <v>0.4375</v>
      </c>
      <c r="AM31">
        <f>HOUR(SalesTable[[#This Row],[time ]])</f>
        <v>10</v>
      </c>
      <c r="AN31">
        <f>MINUTE(SalesTable[[#This Row],[time ]])</f>
        <v>30</v>
      </c>
    </row>
    <row r="32" spans="1:40" x14ac:dyDescent="0.35">
      <c r="A32">
        <v>1031</v>
      </c>
      <c r="B32" t="s">
        <v>55</v>
      </c>
      <c r="C32" t="s">
        <v>32</v>
      </c>
      <c r="D32" t="s">
        <v>42</v>
      </c>
      <c r="E32" t="s">
        <v>26</v>
      </c>
      <c r="F32" t="s">
        <v>59</v>
      </c>
      <c r="G32" t="s">
        <v>28</v>
      </c>
      <c r="H32">
        <v>14</v>
      </c>
      <c r="I32">
        <v>2000</v>
      </c>
      <c r="J32">
        <v>0.08</v>
      </c>
      <c r="K32">
        <v>25760</v>
      </c>
      <c r="L32">
        <v>21000</v>
      </c>
      <c r="M32">
        <v>4760</v>
      </c>
      <c r="N32" t="s">
        <v>39</v>
      </c>
      <c r="O32" t="s">
        <v>22</v>
      </c>
      <c r="P32" t="str">
        <f>IF(SalesTable[[#This Row],[SalesAmount]]&gt;400000,"high sales","low sales")</f>
        <v>low sales</v>
      </c>
      <c r="Q32" t="b">
        <f>AND(SalesTable[[#This Row],[SalesAmount]]&gt;300000,SalesTable[[#This Row],[PaymentMode]]="Cash")</f>
        <v>0</v>
      </c>
      <c r="R32" t="b">
        <f>OR(SalesTable[[#This Row],[SalesAmount]]&gt;300000,SalesTable[[#This Row],[PaymentMode]]="Cash")</f>
        <v>0</v>
      </c>
      <c r="S32" t="b">
        <f>NOT(SalesTable[[#This Row],[SalesAmount]]&gt;500)</f>
        <v>0</v>
      </c>
      <c r="T32">
        <f>IFERROR(SalesTable[[#This Row],[Profit]]/SalesTable[[#This Row],[SalesAmount]],"no sales")</f>
        <v>0.18478260869565216</v>
      </c>
      <c r="U32" t="str">
        <f>UPPER(SalesTable[[#This Row],[Salesperson]])</f>
        <v>SNEHA</v>
      </c>
      <c r="V32" t="str">
        <f>LOWER(SalesTable[[#This Row],[Salesperson]])</f>
        <v>sneha</v>
      </c>
      <c r="W32" t="str">
        <f>LEFT(SalesTable[[#This Row],[uppercase ]],2)</f>
        <v>SN</v>
      </c>
      <c r="X32" t="str">
        <f>RIGHT(SalesTable[[#This Row],[uppercase ]],3)</f>
        <v>EHA</v>
      </c>
      <c r="Y32" t="str">
        <f>MID(SalesTable[[#This Row],[uppercase ]],2,2)</f>
        <v>NE</v>
      </c>
      <c r="Z32" t="str">
        <f>_xlfn.CONCAT(SalesTable[[#This Row],[left fn ]],SalesTable[[#This Row],[right]])</f>
        <v>SNEHA</v>
      </c>
      <c r="AA32">
        <f>LEN(SalesTable[[#This Row],[uppercase ]])</f>
        <v>5</v>
      </c>
      <c r="AB32" t="str">
        <f>TRIM(SalesTable[[#This Row],[Segment]])</f>
        <v>Home Office</v>
      </c>
      <c r="AC32" t="str">
        <f>_xlfn.TEXTJOIN("-",TRUE,SalesTable[[#This Row],[lowercase]],SalesTable[[#This Row],[middle]])</f>
        <v>sneha-NE</v>
      </c>
      <c r="AD32">
        <f>FIND(SalesTable[[#This Row],[middle]],SalesTable[[#This Row],[concatenate ]],1)</f>
        <v>2</v>
      </c>
      <c r="AE32" s="1">
        <f t="shared" ca="1" si="0"/>
        <v>46087</v>
      </c>
      <c r="AF32" s="2">
        <f t="shared" ca="1" si="1"/>
        <v>46087.6708125</v>
      </c>
      <c r="AG32">
        <f>DAY(SalesTable[[#This Row],[OrderDate]])</f>
        <v>6</v>
      </c>
      <c r="AH32">
        <f>MONTH(SalesTable[[#This Row],[OrderDate]])</f>
        <v>2</v>
      </c>
      <c r="AI32">
        <f>YEAR(SalesTable[[#This Row],[OrderDate]])</f>
        <v>2025</v>
      </c>
      <c r="AJ32" t="str">
        <f>TEXT(SalesTable[[#This Row],[OrderDate]],"dddd")</f>
        <v>Thursday</v>
      </c>
      <c r="AK32">
        <f>WEEKDAY(SalesTable[[#This Row],[OrderDate]])</f>
        <v>5</v>
      </c>
      <c r="AL32" s="3">
        <f t="shared" si="2"/>
        <v>0.4375</v>
      </c>
      <c r="AM32">
        <f>HOUR(SalesTable[[#This Row],[time ]])</f>
        <v>10</v>
      </c>
      <c r="AN32">
        <f>MINUTE(SalesTable[[#This Row],[time ]])</f>
        <v>30</v>
      </c>
    </row>
    <row r="33" spans="1:40" x14ac:dyDescent="0.35">
      <c r="A33">
        <v>1032</v>
      </c>
      <c r="B33" t="s">
        <v>71</v>
      </c>
      <c r="C33" t="s">
        <v>16</v>
      </c>
      <c r="D33" t="s">
        <v>54</v>
      </c>
      <c r="E33" t="s">
        <v>46</v>
      </c>
      <c r="F33" t="s">
        <v>72</v>
      </c>
      <c r="G33" t="s">
        <v>52</v>
      </c>
      <c r="H33">
        <v>14</v>
      </c>
      <c r="I33">
        <v>200</v>
      </c>
      <c r="J33">
        <v>0.05</v>
      </c>
      <c r="K33">
        <v>2660</v>
      </c>
      <c r="L33">
        <v>1680</v>
      </c>
      <c r="M33">
        <v>980</v>
      </c>
      <c r="N33" t="s">
        <v>44</v>
      </c>
      <c r="O33" t="s">
        <v>40</v>
      </c>
      <c r="P33" t="str">
        <f>IF(SalesTable[[#This Row],[SalesAmount]]&gt;400000,"high sales","low sales")</f>
        <v>low sales</v>
      </c>
      <c r="Q33" t="b">
        <f>AND(SalesTable[[#This Row],[SalesAmount]]&gt;300000,SalesTable[[#This Row],[PaymentMode]]="Cash")</f>
        <v>0</v>
      </c>
      <c r="R33" t="b">
        <f>OR(SalesTable[[#This Row],[SalesAmount]]&gt;300000,SalesTable[[#This Row],[PaymentMode]]="Cash")</f>
        <v>0</v>
      </c>
      <c r="S33" t="b">
        <f>NOT(SalesTable[[#This Row],[SalesAmount]]&gt;500)</f>
        <v>0</v>
      </c>
      <c r="T33">
        <f>IFERROR(SalesTable[[#This Row],[Profit]]/SalesTable[[#This Row],[SalesAmount]],"no sales")</f>
        <v>0.36842105263157893</v>
      </c>
      <c r="U33" t="str">
        <f>UPPER(SalesTable[[#This Row],[Salesperson]])</f>
        <v>RAHUL</v>
      </c>
      <c r="V33" t="str">
        <f>LOWER(SalesTable[[#This Row],[Salesperson]])</f>
        <v>rahul</v>
      </c>
      <c r="W33" t="str">
        <f>LEFT(SalesTable[[#This Row],[uppercase ]],2)</f>
        <v>RA</v>
      </c>
      <c r="X33" t="str">
        <f>RIGHT(SalesTable[[#This Row],[uppercase ]],3)</f>
        <v>HUL</v>
      </c>
      <c r="Y33" t="str">
        <f>MID(SalesTable[[#This Row],[uppercase ]],2,2)</f>
        <v>AH</v>
      </c>
      <c r="Z33" t="str">
        <f>_xlfn.CONCAT(SalesTable[[#This Row],[left fn ]],SalesTable[[#This Row],[right]])</f>
        <v>RAHUL</v>
      </c>
      <c r="AA33">
        <f>LEN(SalesTable[[#This Row],[uppercase ]])</f>
        <v>5</v>
      </c>
      <c r="AB33" t="str">
        <f>TRIM(SalesTable[[#This Row],[Segment]])</f>
        <v>Consumer</v>
      </c>
      <c r="AC33" t="str">
        <f>_xlfn.TEXTJOIN("-",TRUE,SalesTable[[#This Row],[lowercase]],SalesTable[[#This Row],[middle]])</f>
        <v>rahul-AH</v>
      </c>
      <c r="AD33">
        <f>FIND(SalesTable[[#This Row],[middle]],SalesTable[[#This Row],[concatenate ]],1)</f>
        <v>2</v>
      </c>
      <c r="AE33" s="1">
        <f t="shared" ca="1" si="0"/>
        <v>46087</v>
      </c>
      <c r="AF33" s="2">
        <f t="shared" ca="1" si="1"/>
        <v>46087.6708125</v>
      </c>
      <c r="AG33">
        <f>DAY(SalesTable[[#This Row],[OrderDate]])</f>
        <v>14</v>
      </c>
      <c r="AH33">
        <f>MONTH(SalesTable[[#This Row],[OrderDate]])</f>
        <v>2</v>
      </c>
      <c r="AI33">
        <f>YEAR(SalesTable[[#This Row],[OrderDate]])</f>
        <v>2025</v>
      </c>
      <c r="AJ33" t="str">
        <f>TEXT(SalesTable[[#This Row],[OrderDate]],"dddd")</f>
        <v>Friday</v>
      </c>
      <c r="AK33">
        <f>WEEKDAY(SalesTable[[#This Row],[OrderDate]])</f>
        <v>6</v>
      </c>
      <c r="AL33" s="3">
        <f t="shared" si="2"/>
        <v>0.4375</v>
      </c>
      <c r="AM33">
        <f>HOUR(SalesTable[[#This Row],[time ]])</f>
        <v>10</v>
      </c>
      <c r="AN33">
        <f>MINUTE(SalesTable[[#This Row],[time ]])</f>
        <v>30</v>
      </c>
    </row>
    <row r="34" spans="1:40" x14ac:dyDescent="0.35">
      <c r="A34">
        <v>1033</v>
      </c>
      <c r="B34" t="s">
        <v>73</v>
      </c>
      <c r="C34" t="s">
        <v>16</v>
      </c>
      <c r="D34" t="s">
        <v>17</v>
      </c>
      <c r="E34" t="s">
        <v>26</v>
      </c>
      <c r="F34" t="s">
        <v>50</v>
      </c>
      <c r="G34" t="s">
        <v>28</v>
      </c>
      <c r="H34">
        <v>1</v>
      </c>
      <c r="I34">
        <v>55000</v>
      </c>
      <c r="J34">
        <v>0</v>
      </c>
      <c r="K34">
        <v>55000</v>
      </c>
      <c r="L34">
        <v>50000</v>
      </c>
      <c r="M34">
        <v>5000</v>
      </c>
      <c r="N34" t="s">
        <v>21</v>
      </c>
      <c r="O34" t="s">
        <v>30</v>
      </c>
      <c r="P34" t="str">
        <f>IF(SalesTable[[#This Row],[SalesAmount]]&gt;400000,"high sales","low sales")</f>
        <v>low sales</v>
      </c>
      <c r="Q34" t="b">
        <f>AND(SalesTable[[#This Row],[SalesAmount]]&gt;300000,SalesTable[[#This Row],[PaymentMode]]="Cash")</f>
        <v>0</v>
      </c>
      <c r="R34" t="b">
        <f>OR(SalesTable[[#This Row],[SalesAmount]]&gt;300000,SalesTable[[#This Row],[PaymentMode]]="Cash")</f>
        <v>0</v>
      </c>
      <c r="S34" t="b">
        <f>NOT(SalesTable[[#This Row],[SalesAmount]]&gt;500)</f>
        <v>0</v>
      </c>
      <c r="T34">
        <f>IFERROR(SalesTable[[#This Row],[Profit]]/SalesTable[[#This Row],[SalesAmount]],"no sales")</f>
        <v>9.0909090909090912E-2</v>
      </c>
      <c r="U34" t="str">
        <f>UPPER(SalesTable[[#This Row],[Salesperson]])</f>
        <v>PRIYA</v>
      </c>
      <c r="V34" t="str">
        <f>LOWER(SalesTable[[#This Row],[Salesperson]])</f>
        <v>priya</v>
      </c>
      <c r="W34" t="str">
        <f>LEFT(SalesTable[[#This Row],[uppercase ]],2)</f>
        <v>PR</v>
      </c>
      <c r="X34" t="str">
        <f>RIGHT(SalesTable[[#This Row],[uppercase ]],3)</f>
        <v>IYA</v>
      </c>
      <c r="Y34" t="str">
        <f>MID(SalesTable[[#This Row],[uppercase ]],2,2)</f>
        <v>RI</v>
      </c>
      <c r="Z34" t="str">
        <f>_xlfn.CONCAT(SalesTable[[#This Row],[left fn ]],SalesTable[[#This Row],[right]])</f>
        <v>PRIYA</v>
      </c>
      <c r="AA34">
        <f>LEN(SalesTable[[#This Row],[uppercase ]])</f>
        <v>5</v>
      </c>
      <c r="AB34" t="str">
        <f>TRIM(SalesTable[[#This Row],[Segment]])</f>
        <v>Home Office</v>
      </c>
      <c r="AC34" t="str">
        <f>_xlfn.TEXTJOIN("-",TRUE,SalesTable[[#This Row],[lowercase]],SalesTable[[#This Row],[middle]])</f>
        <v>priya-RI</v>
      </c>
      <c r="AD34">
        <f>FIND(SalesTable[[#This Row],[middle]],SalesTable[[#This Row],[concatenate ]],1)</f>
        <v>2</v>
      </c>
      <c r="AE34" s="1">
        <f t="shared" ref="AE34:AE65" ca="1" si="3">TODAY()</f>
        <v>46087</v>
      </c>
      <c r="AF34" s="2">
        <f t="shared" ref="AF34:AF65" ca="1" si="4">NOW()</f>
        <v>46087.6708125</v>
      </c>
      <c r="AG34">
        <f>DAY(SalesTable[[#This Row],[OrderDate]])</f>
        <v>15</v>
      </c>
      <c r="AH34">
        <f>MONTH(SalesTable[[#This Row],[OrderDate]])</f>
        <v>2</v>
      </c>
      <c r="AI34">
        <f>YEAR(SalesTable[[#This Row],[OrderDate]])</f>
        <v>2025</v>
      </c>
      <c r="AJ34" t="str">
        <f>TEXT(SalesTable[[#This Row],[OrderDate]],"dddd")</f>
        <v>Saturday</v>
      </c>
      <c r="AK34">
        <f>WEEKDAY(SalesTable[[#This Row],[OrderDate]])</f>
        <v>7</v>
      </c>
      <c r="AL34" s="3">
        <f t="shared" ref="AL34:AL65" si="5">TIME(10,30,0)</f>
        <v>0.4375</v>
      </c>
      <c r="AM34">
        <f>HOUR(SalesTable[[#This Row],[time ]])</f>
        <v>10</v>
      </c>
      <c r="AN34">
        <f>MINUTE(SalesTable[[#This Row],[time ]])</f>
        <v>30</v>
      </c>
    </row>
    <row r="35" spans="1:40" x14ac:dyDescent="0.35">
      <c r="A35">
        <v>1034</v>
      </c>
      <c r="B35" t="s">
        <v>74</v>
      </c>
      <c r="C35" t="s">
        <v>32</v>
      </c>
      <c r="D35" t="s">
        <v>54</v>
      </c>
      <c r="E35" t="s">
        <v>46</v>
      </c>
      <c r="F35" t="s">
        <v>49</v>
      </c>
      <c r="G35" t="s">
        <v>20</v>
      </c>
      <c r="H35">
        <v>1</v>
      </c>
      <c r="I35">
        <v>500</v>
      </c>
      <c r="J35">
        <v>0.02</v>
      </c>
      <c r="K35">
        <v>490</v>
      </c>
      <c r="L35">
        <v>350</v>
      </c>
      <c r="M35">
        <v>140</v>
      </c>
      <c r="N35" t="s">
        <v>44</v>
      </c>
      <c r="O35" t="s">
        <v>22</v>
      </c>
      <c r="P35" t="str">
        <f>IF(SalesTable[[#This Row],[SalesAmount]]&gt;400000,"high sales","low sales")</f>
        <v>low sales</v>
      </c>
      <c r="Q35" t="b">
        <f>AND(SalesTable[[#This Row],[SalesAmount]]&gt;300000,SalesTable[[#This Row],[PaymentMode]]="Cash")</f>
        <v>0</v>
      </c>
      <c r="R35" t="b">
        <f>OR(SalesTable[[#This Row],[SalesAmount]]&gt;300000,SalesTable[[#This Row],[PaymentMode]]="Cash")</f>
        <v>0</v>
      </c>
      <c r="S35" t="b">
        <f>NOT(SalesTable[[#This Row],[SalesAmount]]&gt;500)</f>
        <v>1</v>
      </c>
      <c r="T35">
        <f>IFERROR(SalesTable[[#This Row],[Profit]]/SalesTable[[#This Row],[SalesAmount]],"no sales")</f>
        <v>0.2857142857142857</v>
      </c>
      <c r="U35" t="str">
        <f>UPPER(SalesTable[[#This Row],[Salesperson]])</f>
        <v>RAHUL</v>
      </c>
      <c r="V35" t="str">
        <f>LOWER(SalesTable[[#This Row],[Salesperson]])</f>
        <v>rahul</v>
      </c>
      <c r="W35" t="str">
        <f>LEFT(SalesTable[[#This Row],[uppercase ]],2)</f>
        <v>RA</v>
      </c>
      <c r="X35" t="str">
        <f>RIGHT(SalesTable[[#This Row],[uppercase ]],3)</f>
        <v>HUL</v>
      </c>
      <c r="Y35" t="str">
        <f>MID(SalesTable[[#This Row],[uppercase ]],2,2)</f>
        <v>AH</v>
      </c>
      <c r="Z35" t="str">
        <f>_xlfn.CONCAT(SalesTable[[#This Row],[left fn ]],SalesTable[[#This Row],[right]])</f>
        <v>RAHUL</v>
      </c>
      <c r="AA35">
        <f>LEN(SalesTable[[#This Row],[uppercase ]])</f>
        <v>5</v>
      </c>
      <c r="AB35" t="str">
        <f>TRIM(SalesTable[[#This Row],[Segment]])</f>
        <v>Corporate</v>
      </c>
      <c r="AC35" t="str">
        <f>_xlfn.TEXTJOIN("-",TRUE,SalesTable[[#This Row],[lowercase]],SalesTable[[#This Row],[middle]])</f>
        <v>rahul-AH</v>
      </c>
      <c r="AD35">
        <f>FIND(SalesTable[[#This Row],[middle]],SalesTable[[#This Row],[concatenate ]],1)</f>
        <v>2</v>
      </c>
      <c r="AE35" s="1">
        <f t="shared" ca="1" si="3"/>
        <v>46087</v>
      </c>
      <c r="AF35" s="2">
        <f t="shared" ca="1" si="4"/>
        <v>46087.6708125</v>
      </c>
      <c r="AG35">
        <f>DAY(SalesTable[[#This Row],[OrderDate]])</f>
        <v>27</v>
      </c>
      <c r="AH35">
        <f>MONTH(SalesTable[[#This Row],[OrderDate]])</f>
        <v>1</v>
      </c>
      <c r="AI35">
        <f>YEAR(SalesTable[[#This Row],[OrderDate]])</f>
        <v>2025</v>
      </c>
      <c r="AJ35" t="str">
        <f>TEXT(SalesTable[[#This Row],[OrderDate]],"dddd")</f>
        <v>Monday</v>
      </c>
      <c r="AK35">
        <f>WEEKDAY(SalesTable[[#This Row],[OrderDate]])</f>
        <v>2</v>
      </c>
      <c r="AL35" s="3">
        <f t="shared" si="5"/>
        <v>0.4375</v>
      </c>
      <c r="AM35">
        <f>HOUR(SalesTable[[#This Row],[time ]])</f>
        <v>10</v>
      </c>
      <c r="AN35">
        <f>MINUTE(SalesTable[[#This Row],[time ]])</f>
        <v>30</v>
      </c>
    </row>
    <row r="36" spans="1:40" x14ac:dyDescent="0.35">
      <c r="A36">
        <v>1035</v>
      </c>
      <c r="B36" t="s">
        <v>58</v>
      </c>
      <c r="C36" t="s">
        <v>16</v>
      </c>
      <c r="D36" t="s">
        <v>42</v>
      </c>
      <c r="E36" t="s">
        <v>46</v>
      </c>
      <c r="F36" t="s">
        <v>49</v>
      </c>
      <c r="G36" t="s">
        <v>52</v>
      </c>
      <c r="H36">
        <v>12</v>
      </c>
      <c r="I36">
        <v>500</v>
      </c>
      <c r="J36">
        <v>0.08</v>
      </c>
      <c r="K36">
        <v>5520</v>
      </c>
      <c r="L36">
        <v>4200</v>
      </c>
      <c r="M36">
        <v>1320</v>
      </c>
      <c r="N36" t="s">
        <v>39</v>
      </c>
      <c r="O36" t="s">
        <v>40</v>
      </c>
      <c r="P36" t="str">
        <f>IF(SalesTable[[#This Row],[SalesAmount]]&gt;400000,"high sales","low sales")</f>
        <v>low sales</v>
      </c>
      <c r="Q36" t="b">
        <f>AND(SalesTable[[#This Row],[SalesAmount]]&gt;300000,SalesTable[[#This Row],[PaymentMode]]="Cash")</f>
        <v>0</v>
      </c>
      <c r="R36" t="b">
        <f>OR(SalesTable[[#This Row],[SalesAmount]]&gt;300000,SalesTable[[#This Row],[PaymentMode]]="Cash")</f>
        <v>0</v>
      </c>
      <c r="S36" t="b">
        <f>NOT(SalesTable[[#This Row],[SalesAmount]]&gt;500)</f>
        <v>0</v>
      </c>
      <c r="T36">
        <f>IFERROR(SalesTable[[#This Row],[Profit]]/SalesTable[[#This Row],[SalesAmount]],"no sales")</f>
        <v>0.2391304347826087</v>
      </c>
      <c r="U36" t="str">
        <f>UPPER(SalesTable[[#This Row],[Salesperson]])</f>
        <v>SNEHA</v>
      </c>
      <c r="V36" t="str">
        <f>LOWER(SalesTable[[#This Row],[Salesperson]])</f>
        <v>sneha</v>
      </c>
      <c r="W36" t="str">
        <f>LEFT(SalesTable[[#This Row],[uppercase ]],2)</f>
        <v>SN</v>
      </c>
      <c r="X36" t="str">
        <f>RIGHT(SalesTable[[#This Row],[uppercase ]],3)</f>
        <v>EHA</v>
      </c>
      <c r="Y36" t="str">
        <f>MID(SalesTable[[#This Row],[uppercase ]],2,2)</f>
        <v>NE</v>
      </c>
      <c r="Z36" t="str">
        <f>_xlfn.CONCAT(SalesTable[[#This Row],[left fn ]],SalesTable[[#This Row],[right]])</f>
        <v>SNEHA</v>
      </c>
      <c r="AA36">
        <f>LEN(SalesTable[[#This Row],[uppercase ]])</f>
        <v>5</v>
      </c>
      <c r="AB36" t="str">
        <f>TRIM(SalesTable[[#This Row],[Segment]])</f>
        <v>Consumer</v>
      </c>
      <c r="AC36" t="str">
        <f>_xlfn.TEXTJOIN("-",TRUE,SalesTable[[#This Row],[lowercase]],SalesTable[[#This Row],[middle]])</f>
        <v>sneha-NE</v>
      </c>
      <c r="AD36">
        <f>FIND(SalesTable[[#This Row],[middle]],SalesTable[[#This Row],[concatenate ]],1)</f>
        <v>2</v>
      </c>
      <c r="AE36" s="1">
        <f t="shared" ca="1" si="3"/>
        <v>46087</v>
      </c>
      <c r="AF36" s="2">
        <f t="shared" ca="1" si="4"/>
        <v>46087.6708125</v>
      </c>
      <c r="AG36">
        <f>DAY(SalesTable[[#This Row],[OrderDate]])</f>
        <v>23</v>
      </c>
      <c r="AH36">
        <f>MONTH(SalesTable[[#This Row],[OrderDate]])</f>
        <v>1</v>
      </c>
      <c r="AI36">
        <f>YEAR(SalesTable[[#This Row],[OrderDate]])</f>
        <v>2025</v>
      </c>
      <c r="AJ36" t="str">
        <f>TEXT(SalesTable[[#This Row],[OrderDate]],"dddd")</f>
        <v>Thursday</v>
      </c>
      <c r="AK36">
        <f>WEEKDAY(SalesTable[[#This Row],[OrderDate]])</f>
        <v>5</v>
      </c>
      <c r="AL36" s="3">
        <f t="shared" si="5"/>
        <v>0.4375</v>
      </c>
      <c r="AM36">
        <f>HOUR(SalesTable[[#This Row],[time ]])</f>
        <v>10</v>
      </c>
      <c r="AN36">
        <f>MINUTE(SalesTable[[#This Row],[time ]])</f>
        <v>30</v>
      </c>
    </row>
    <row r="37" spans="1:40" x14ac:dyDescent="0.35">
      <c r="A37">
        <v>1036</v>
      </c>
      <c r="B37" t="s">
        <v>75</v>
      </c>
      <c r="C37" t="s">
        <v>16</v>
      </c>
      <c r="D37" t="s">
        <v>54</v>
      </c>
      <c r="E37" t="s">
        <v>18</v>
      </c>
      <c r="F37" t="s">
        <v>19</v>
      </c>
      <c r="G37" t="s">
        <v>28</v>
      </c>
      <c r="H37">
        <v>8</v>
      </c>
      <c r="I37">
        <v>3000</v>
      </c>
      <c r="J37">
        <v>0</v>
      </c>
      <c r="K37">
        <v>24000</v>
      </c>
      <c r="L37">
        <v>16000</v>
      </c>
      <c r="M37">
        <v>8000</v>
      </c>
      <c r="N37" t="s">
        <v>39</v>
      </c>
      <c r="O37" t="s">
        <v>30</v>
      </c>
      <c r="P37" t="str">
        <f>IF(SalesTable[[#This Row],[SalesAmount]]&gt;400000,"high sales","low sales")</f>
        <v>low sales</v>
      </c>
      <c r="Q37" t="b">
        <f>AND(SalesTable[[#This Row],[SalesAmount]]&gt;300000,SalesTable[[#This Row],[PaymentMode]]="Cash")</f>
        <v>0</v>
      </c>
      <c r="R37" t="b">
        <f>OR(SalesTable[[#This Row],[SalesAmount]]&gt;300000,SalesTable[[#This Row],[PaymentMode]]="Cash")</f>
        <v>0</v>
      </c>
      <c r="S37" t="b">
        <f>NOT(SalesTable[[#This Row],[SalesAmount]]&gt;500)</f>
        <v>0</v>
      </c>
      <c r="T37">
        <f>IFERROR(SalesTable[[#This Row],[Profit]]/SalesTable[[#This Row],[SalesAmount]],"no sales")</f>
        <v>0.33333333333333331</v>
      </c>
      <c r="U37" t="str">
        <f>UPPER(SalesTable[[#This Row],[Salesperson]])</f>
        <v>RAHUL</v>
      </c>
      <c r="V37" t="str">
        <f>LOWER(SalesTable[[#This Row],[Salesperson]])</f>
        <v>rahul</v>
      </c>
      <c r="W37" t="str">
        <f>LEFT(SalesTable[[#This Row],[uppercase ]],2)</f>
        <v>RA</v>
      </c>
      <c r="X37" t="str">
        <f>RIGHT(SalesTable[[#This Row],[uppercase ]],3)</f>
        <v>HUL</v>
      </c>
      <c r="Y37" t="str">
        <f>MID(SalesTable[[#This Row],[uppercase ]],2,2)</f>
        <v>AH</v>
      </c>
      <c r="Z37" t="str">
        <f>_xlfn.CONCAT(SalesTable[[#This Row],[left fn ]],SalesTable[[#This Row],[right]])</f>
        <v>RAHUL</v>
      </c>
      <c r="AA37">
        <f>LEN(SalesTable[[#This Row],[uppercase ]])</f>
        <v>5</v>
      </c>
      <c r="AB37" t="str">
        <f>TRIM(SalesTable[[#This Row],[Segment]])</f>
        <v>Home Office</v>
      </c>
      <c r="AC37" t="str">
        <f>_xlfn.TEXTJOIN("-",TRUE,SalesTable[[#This Row],[lowercase]],SalesTable[[#This Row],[middle]])</f>
        <v>rahul-AH</v>
      </c>
      <c r="AD37">
        <f>FIND(SalesTable[[#This Row],[middle]],SalesTable[[#This Row],[concatenate ]],1)</f>
        <v>2</v>
      </c>
      <c r="AE37" s="1">
        <f t="shared" ca="1" si="3"/>
        <v>46087</v>
      </c>
      <c r="AF37" s="2">
        <f t="shared" ca="1" si="4"/>
        <v>46087.6708125</v>
      </c>
      <c r="AG37">
        <f>DAY(SalesTable[[#This Row],[OrderDate]])</f>
        <v>31</v>
      </c>
      <c r="AH37">
        <f>MONTH(SalesTable[[#This Row],[OrderDate]])</f>
        <v>1</v>
      </c>
      <c r="AI37">
        <f>YEAR(SalesTable[[#This Row],[OrderDate]])</f>
        <v>2025</v>
      </c>
      <c r="AJ37" t="str">
        <f>TEXT(SalesTable[[#This Row],[OrderDate]],"dddd")</f>
        <v>Friday</v>
      </c>
      <c r="AK37">
        <f>WEEKDAY(SalesTable[[#This Row],[OrderDate]])</f>
        <v>6</v>
      </c>
      <c r="AL37" s="3">
        <f t="shared" si="5"/>
        <v>0.4375</v>
      </c>
      <c r="AM37">
        <f>HOUR(SalesTable[[#This Row],[time ]])</f>
        <v>10</v>
      </c>
      <c r="AN37">
        <f>MINUTE(SalesTable[[#This Row],[time ]])</f>
        <v>30</v>
      </c>
    </row>
    <row r="38" spans="1:40" x14ac:dyDescent="0.35">
      <c r="A38">
        <v>1037</v>
      </c>
      <c r="B38" t="s">
        <v>67</v>
      </c>
      <c r="C38" t="s">
        <v>35</v>
      </c>
      <c r="D38" t="s">
        <v>42</v>
      </c>
      <c r="E38" t="s">
        <v>26</v>
      </c>
      <c r="F38" t="s">
        <v>59</v>
      </c>
      <c r="G38" t="s">
        <v>20</v>
      </c>
      <c r="H38">
        <v>20</v>
      </c>
      <c r="I38">
        <v>2000</v>
      </c>
      <c r="J38">
        <v>0.08</v>
      </c>
      <c r="K38">
        <v>36800</v>
      </c>
      <c r="L38">
        <v>30000</v>
      </c>
      <c r="M38">
        <v>6800</v>
      </c>
      <c r="N38" t="s">
        <v>21</v>
      </c>
      <c r="O38" t="s">
        <v>40</v>
      </c>
      <c r="P38" t="str">
        <f>IF(SalesTable[[#This Row],[SalesAmount]]&gt;400000,"high sales","low sales")</f>
        <v>low sales</v>
      </c>
      <c r="Q38" t="b">
        <f>AND(SalesTable[[#This Row],[SalesAmount]]&gt;300000,SalesTable[[#This Row],[PaymentMode]]="Cash")</f>
        <v>0</v>
      </c>
      <c r="R38" t="b">
        <f>OR(SalesTable[[#This Row],[SalesAmount]]&gt;300000,SalesTable[[#This Row],[PaymentMode]]="Cash")</f>
        <v>0</v>
      </c>
      <c r="S38" t="b">
        <f>NOT(SalesTable[[#This Row],[SalesAmount]]&gt;500)</f>
        <v>0</v>
      </c>
      <c r="T38">
        <f>IFERROR(SalesTable[[#This Row],[Profit]]/SalesTable[[#This Row],[SalesAmount]],"no sales")</f>
        <v>0.18478260869565216</v>
      </c>
      <c r="U38" t="str">
        <f>UPPER(SalesTable[[#This Row],[Salesperson]])</f>
        <v>SNEHA</v>
      </c>
      <c r="V38" t="str">
        <f>LOWER(SalesTable[[#This Row],[Salesperson]])</f>
        <v>sneha</v>
      </c>
      <c r="W38" t="str">
        <f>LEFT(SalesTable[[#This Row],[uppercase ]],2)</f>
        <v>SN</v>
      </c>
      <c r="X38" t="str">
        <f>RIGHT(SalesTable[[#This Row],[uppercase ]],3)</f>
        <v>EHA</v>
      </c>
      <c r="Y38" t="str">
        <f>MID(SalesTable[[#This Row],[uppercase ]],2,2)</f>
        <v>NE</v>
      </c>
      <c r="Z38" t="str">
        <f>_xlfn.CONCAT(SalesTable[[#This Row],[left fn ]],SalesTable[[#This Row],[right]])</f>
        <v>SNEHA</v>
      </c>
      <c r="AA38">
        <f>LEN(SalesTable[[#This Row],[uppercase ]])</f>
        <v>5</v>
      </c>
      <c r="AB38" t="str">
        <f>TRIM(SalesTable[[#This Row],[Segment]])</f>
        <v>Corporate</v>
      </c>
      <c r="AC38" t="str">
        <f>_xlfn.TEXTJOIN("-",TRUE,SalesTable[[#This Row],[lowercase]],SalesTable[[#This Row],[middle]])</f>
        <v>sneha-NE</v>
      </c>
      <c r="AD38">
        <f>FIND(SalesTable[[#This Row],[middle]],SalesTable[[#This Row],[concatenate ]],1)</f>
        <v>2</v>
      </c>
      <c r="AE38" s="1">
        <f t="shared" ca="1" si="3"/>
        <v>46087</v>
      </c>
      <c r="AF38" s="2">
        <f t="shared" ca="1" si="4"/>
        <v>46087.6708125</v>
      </c>
      <c r="AG38">
        <f>DAY(SalesTable[[#This Row],[OrderDate]])</f>
        <v>4</v>
      </c>
      <c r="AH38">
        <f>MONTH(SalesTable[[#This Row],[OrderDate]])</f>
        <v>1</v>
      </c>
      <c r="AI38">
        <f>YEAR(SalesTable[[#This Row],[OrderDate]])</f>
        <v>2025</v>
      </c>
      <c r="AJ38" t="str">
        <f>TEXT(SalesTable[[#This Row],[OrderDate]],"dddd")</f>
        <v>Saturday</v>
      </c>
      <c r="AK38">
        <f>WEEKDAY(SalesTable[[#This Row],[OrderDate]])</f>
        <v>7</v>
      </c>
      <c r="AL38" s="3">
        <f t="shared" si="5"/>
        <v>0.4375</v>
      </c>
      <c r="AM38">
        <f>HOUR(SalesTable[[#This Row],[time ]])</f>
        <v>10</v>
      </c>
      <c r="AN38">
        <f>MINUTE(SalesTable[[#This Row],[time ]])</f>
        <v>30</v>
      </c>
    </row>
    <row r="39" spans="1:40" x14ac:dyDescent="0.35">
      <c r="A39">
        <v>1038</v>
      </c>
      <c r="B39" t="s">
        <v>76</v>
      </c>
      <c r="C39" t="s">
        <v>24</v>
      </c>
      <c r="D39" t="s">
        <v>54</v>
      </c>
      <c r="E39" t="s">
        <v>46</v>
      </c>
      <c r="F39" t="s">
        <v>47</v>
      </c>
      <c r="G39" t="s">
        <v>52</v>
      </c>
      <c r="H39">
        <v>12</v>
      </c>
      <c r="I39">
        <v>100</v>
      </c>
      <c r="J39">
        <v>0.08</v>
      </c>
      <c r="K39">
        <v>1104</v>
      </c>
      <c r="L39">
        <v>600</v>
      </c>
      <c r="M39">
        <v>504</v>
      </c>
      <c r="N39" t="s">
        <v>21</v>
      </c>
      <c r="O39" t="s">
        <v>22</v>
      </c>
      <c r="P39" t="str">
        <f>IF(SalesTable[[#This Row],[SalesAmount]]&gt;400000,"high sales","low sales")</f>
        <v>low sales</v>
      </c>
      <c r="Q39" t="b">
        <f>AND(SalesTable[[#This Row],[SalesAmount]]&gt;300000,SalesTable[[#This Row],[PaymentMode]]="Cash")</f>
        <v>0</v>
      </c>
      <c r="R39" t="b">
        <f>OR(SalesTable[[#This Row],[SalesAmount]]&gt;300000,SalesTable[[#This Row],[PaymentMode]]="Cash")</f>
        <v>0</v>
      </c>
      <c r="S39" t="b">
        <f>NOT(SalesTable[[#This Row],[SalesAmount]]&gt;500)</f>
        <v>0</v>
      </c>
      <c r="T39">
        <f>IFERROR(SalesTable[[#This Row],[Profit]]/SalesTable[[#This Row],[SalesAmount]],"no sales")</f>
        <v>0.45652173913043476</v>
      </c>
      <c r="U39" t="str">
        <f>UPPER(SalesTable[[#This Row],[Salesperson]])</f>
        <v>RAHUL</v>
      </c>
      <c r="V39" t="str">
        <f>LOWER(SalesTable[[#This Row],[Salesperson]])</f>
        <v>rahul</v>
      </c>
      <c r="W39" t="str">
        <f>LEFT(SalesTable[[#This Row],[uppercase ]],2)</f>
        <v>RA</v>
      </c>
      <c r="X39" t="str">
        <f>RIGHT(SalesTable[[#This Row],[uppercase ]],3)</f>
        <v>HUL</v>
      </c>
      <c r="Y39" t="str">
        <f>MID(SalesTable[[#This Row],[uppercase ]],2,2)</f>
        <v>AH</v>
      </c>
      <c r="Z39" t="str">
        <f>_xlfn.CONCAT(SalesTable[[#This Row],[left fn ]],SalesTable[[#This Row],[right]])</f>
        <v>RAHUL</v>
      </c>
      <c r="AA39">
        <f>LEN(SalesTable[[#This Row],[uppercase ]])</f>
        <v>5</v>
      </c>
      <c r="AB39" t="str">
        <f>TRIM(SalesTable[[#This Row],[Segment]])</f>
        <v>Consumer</v>
      </c>
      <c r="AC39" t="str">
        <f>_xlfn.TEXTJOIN("-",TRUE,SalesTable[[#This Row],[lowercase]],SalesTable[[#This Row],[middle]])</f>
        <v>rahul-AH</v>
      </c>
      <c r="AD39">
        <f>FIND(SalesTable[[#This Row],[middle]],SalesTable[[#This Row],[concatenate ]],1)</f>
        <v>2</v>
      </c>
      <c r="AE39" s="1">
        <f t="shared" ca="1" si="3"/>
        <v>46087</v>
      </c>
      <c r="AF39" s="2">
        <f t="shared" ca="1" si="4"/>
        <v>46087.6708125</v>
      </c>
      <c r="AG39">
        <f>DAY(SalesTable[[#This Row],[OrderDate]])</f>
        <v>26</v>
      </c>
      <c r="AH39">
        <f>MONTH(SalesTable[[#This Row],[OrderDate]])</f>
        <v>1</v>
      </c>
      <c r="AI39">
        <f>YEAR(SalesTable[[#This Row],[OrderDate]])</f>
        <v>2025</v>
      </c>
      <c r="AJ39" t="str">
        <f>TEXT(SalesTable[[#This Row],[OrderDate]],"dddd")</f>
        <v>Sunday</v>
      </c>
      <c r="AK39">
        <f>WEEKDAY(SalesTable[[#This Row],[OrderDate]])</f>
        <v>1</v>
      </c>
      <c r="AL39" s="3">
        <f t="shared" si="5"/>
        <v>0.4375</v>
      </c>
      <c r="AM39">
        <f>HOUR(SalesTable[[#This Row],[time ]])</f>
        <v>10</v>
      </c>
      <c r="AN39">
        <f>MINUTE(SalesTable[[#This Row],[time ]])</f>
        <v>30</v>
      </c>
    </row>
    <row r="40" spans="1:40" x14ac:dyDescent="0.35">
      <c r="A40">
        <v>1039</v>
      </c>
      <c r="B40" t="s">
        <v>77</v>
      </c>
      <c r="C40" t="s">
        <v>32</v>
      </c>
      <c r="D40" t="s">
        <v>17</v>
      </c>
      <c r="E40" t="s">
        <v>26</v>
      </c>
      <c r="F40" t="s">
        <v>33</v>
      </c>
      <c r="G40" t="s">
        <v>20</v>
      </c>
      <c r="H40">
        <v>5</v>
      </c>
      <c r="I40">
        <v>20000</v>
      </c>
      <c r="J40">
        <v>0.1</v>
      </c>
      <c r="K40">
        <v>90000</v>
      </c>
      <c r="L40">
        <v>75000</v>
      </c>
      <c r="M40">
        <v>15000</v>
      </c>
      <c r="N40" t="s">
        <v>39</v>
      </c>
      <c r="O40" t="s">
        <v>40</v>
      </c>
      <c r="P40" t="str">
        <f>IF(SalesTable[[#This Row],[SalesAmount]]&gt;400000,"high sales","low sales")</f>
        <v>low sales</v>
      </c>
      <c r="Q40" t="b">
        <f>AND(SalesTable[[#This Row],[SalesAmount]]&gt;300000,SalesTable[[#This Row],[PaymentMode]]="Cash")</f>
        <v>0</v>
      </c>
      <c r="R40" t="b">
        <f>OR(SalesTable[[#This Row],[SalesAmount]]&gt;300000,SalesTable[[#This Row],[PaymentMode]]="Cash")</f>
        <v>0</v>
      </c>
      <c r="S40" t="b">
        <f>NOT(SalesTable[[#This Row],[SalesAmount]]&gt;500)</f>
        <v>0</v>
      </c>
      <c r="T40">
        <f>IFERROR(SalesTable[[#This Row],[Profit]]/SalesTable[[#This Row],[SalesAmount]],"no sales")</f>
        <v>0.16666666666666666</v>
      </c>
      <c r="U40" t="str">
        <f>UPPER(SalesTable[[#This Row],[Salesperson]])</f>
        <v>PRIYA</v>
      </c>
      <c r="V40" t="str">
        <f>LOWER(SalesTable[[#This Row],[Salesperson]])</f>
        <v>priya</v>
      </c>
      <c r="W40" t="str">
        <f>LEFT(SalesTable[[#This Row],[uppercase ]],2)</f>
        <v>PR</v>
      </c>
      <c r="X40" t="str">
        <f>RIGHT(SalesTable[[#This Row],[uppercase ]],3)</f>
        <v>IYA</v>
      </c>
      <c r="Y40" t="str">
        <f>MID(SalesTable[[#This Row],[uppercase ]],2,2)</f>
        <v>RI</v>
      </c>
      <c r="Z40" t="str">
        <f>_xlfn.CONCAT(SalesTable[[#This Row],[left fn ]],SalesTable[[#This Row],[right]])</f>
        <v>PRIYA</v>
      </c>
      <c r="AA40">
        <f>LEN(SalesTable[[#This Row],[uppercase ]])</f>
        <v>5</v>
      </c>
      <c r="AB40" t="str">
        <f>TRIM(SalesTable[[#This Row],[Segment]])</f>
        <v>Corporate</v>
      </c>
      <c r="AC40" t="str">
        <f>_xlfn.TEXTJOIN("-",TRUE,SalesTable[[#This Row],[lowercase]],SalesTable[[#This Row],[middle]])</f>
        <v>priya-RI</v>
      </c>
      <c r="AD40">
        <f>FIND(SalesTable[[#This Row],[middle]],SalesTable[[#This Row],[concatenate ]],1)</f>
        <v>2</v>
      </c>
      <c r="AE40" s="1">
        <f t="shared" ca="1" si="3"/>
        <v>46087</v>
      </c>
      <c r="AF40" s="2">
        <f t="shared" ca="1" si="4"/>
        <v>46087.6708125</v>
      </c>
      <c r="AG40">
        <f>DAY(SalesTable[[#This Row],[OrderDate]])</f>
        <v>11</v>
      </c>
      <c r="AH40">
        <f>MONTH(SalesTable[[#This Row],[OrderDate]])</f>
        <v>1</v>
      </c>
      <c r="AI40">
        <f>YEAR(SalesTable[[#This Row],[OrderDate]])</f>
        <v>2025</v>
      </c>
      <c r="AJ40" t="str">
        <f>TEXT(SalesTable[[#This Row],[OrderDate]],"dddd")</f>
        <v>Saturday</v>
      </c>
      <c r="AK40">
        <f>WEEKDAY(SalesTable[[#This Row],[OrderDate]])</f>
        <v>7</v>
      </c>
      <c r="AL40" s="3">
        <f t="shared" si="5"/>
        <v>0.4375</v>
      </c>
      <c r="AM40">
        <f>HOUR(SalesTable[[#This Row],[time ]])</f>
        <v>10</v>
      </c>
      <c r="AN40">
        <f>MINUTE(SalesTable[[#This Row],[time ]])</f>
        <v>30</v>
      </c>
    </row>
    <row r="41" spans="1:40" x14ac:dyDescent="0.35">
      <c r="A41">
        <v>1040</v>
      </c>
      <c r="B41" t="s">
        <v>67</v>
      </c>
      <c r="C41" t="s">
        <v>24</v>
      </c>
      <c r="D41" t="s">
        <v>54</v>
      </c>
      <c r="E41" t="s">
        <v>18</v>
      </c>
      <c r="F41" t="s">
        <v>43</v>
      </c>
      <c r="G41" t="s">
        <v>52</v>
      </c>
      <c r="H41">
        <v>1</v>
      </c>
      <c r="I41">
        <v>12000</v>
      </c>
      <c r="J41">
        <v>0</v>
      </c>
      <c r="K41">
        <v>12000</v>
      </c>
      <c r="L41">
        <v>8000</v>
      </c>
      <c r="M41">
        <v>4000</v>
      </c>
      <c r="N41" t="s">
        <v>21</v>
      </c>
      <c r="O41" t="s">
        <v>22</v>
      </c>
      <c r="P41" t="str">
        <f>IF(SalesTable[[#This Row],[SalesAmount]]&gt;400000,"high sales","low sales")</f>
        <v>low sales</v>
      </c>
      <c r="Q41" t="b">
        <f>AND(SalesTable[[#This Row],[SalesAmount]]&gt;300000,SalesTable[[#This Row],[PaymentMode]]="Cash")</f>
        <v>0</v>
      </c>
      <c r="R41" t="b">
        <f>OR(SalesTable[[#This Row],[SalesAmount]]&gt;300000,SalesTable[[#This Row],[PaymentMode]]="Cash")</f>
        <v>0</v>
      </c>
      <c r="S41" t="b">
        <f>NOT(SalesTable[[#This Row],[SalesAmount]]&gt;500)</f>
        <v>0</v>
      </c>
      <c r="T41">
        <f>IFERROR(SalesTable[[#This Row],[Profit]]/SalesTable[[#This Row],[SalesAmount]],"no sales")</f>
        <v>0.33333333333333331</v>
      </c>
      <c r="U41" t="str">
        <f>UPPER(SalesTable[[#This Row],[Salesperson]])</f>
        <v>RAHUL</v>
      </c>
      <c r="V41" t="str">
        <f>LOWER(SalesTable[[#This Row],[Salesperson]])</f>
        <v>rahul</v>
      </c>
      <c r="W41" t="str">
        <f>LEFT(SalesTable[[#This Row],[uppercase ]],2)</f>
        <v>RA</v>
      </c>
      <c r="X41" t="str">
        <f>RIGHT(SalesTable[[#This Row],[uppercase ]],3)</f>
        <v>HUL</v>
      </c>
      <c r="Y41" t="str">
        <f>MID(SalesTable[[#This Row],[uppercase ]],2,2)</f>
        <v>AH</v>
      </c>
      <c r="Z41" t="str">
        <f>_xlfn.CONCAT(SalesTable[[#This Row],[left fn ]],SalesTable[[#This Row],[right]])</f>
        <v>RAHUL</v>
      </c>
      <c r="AA41">
        <f>LEN(SalesTable[[#This Row],[uppercase ]])</f>
        <v>5</v>
      </c>
      <c r="AB41" t="str">
        <f>TRIM(SalesTable[[#This Row],[Segment]])</f>
        <v>Consumer</v>
      </c>
      <c r="AC41" t="str">
        <f>_xlfn.TEXTJOIN("-",TRUE,SalesTable[[#This Row],[lowercase]],SalesTable[[#This Row],[middle]])</f>
        <v>rahul-AH</v>
      </c>
      <c r="AD41">
        <f>FIND(SalesTable[[#This Row],[middle]],SalesTable[[#This Row],[concatenate ]],1)</f>
        <v>2</v>
      </c>
      <c r="AE41" s="1">
        <f t="shared" ca="1" si="3"/>
        <v>46087</v>
      </c>
      <c r="AF41" s="2">
        <f t="shared" ca="1" si="4"/>
        <v>46087.6708125</v>
      </c>
      <c r="AG41">
        <f>DAY(SalesTable[[#This Row],[OrderDate]])</f>
        <v>4</v>
      </c>
      <c r="AH41">
        <f>MONTH(SalesTable[[#This Row],[OrderDate]])</f>
        <v>1</v>
      </c>
      <c r="AI41">
        <f>YEAR(SalesTable[[#This Row],[OrderDate]])</f>
        <v>2025</v>
      </c>
      <c r="AJ41" t="str">
        <f>TEXT(SalesTable[[#This Row],[OrderDate]],"dddd")</f>
        <v>Saturday</v>
      </c>
      <c r="AK41">
        <f>WEEKDAY(SalesTable[[#This Row],[OrderDate]])</f>
        <v>7</v>
      </c>
      <c r="AL41" s="3">
        <f t="shared" si="5"/>
        <v>0.4375</v>
      </c>
      <c r="AM41">
        <f>HOUR(SalesTable[[#This Row],[time ]])</f>
        <v>10</v>
      </c>
      <c r="AN41">
        <f>MINUTE(SalesTable[[#This Row],[time ]])</f>
        <v>30</v>
      </c>
    </row>
    <row r="42" spans="1:40" x14ac:dyDescent="0.35">
      <c r="A42">
        <v>1041</v>
      </c>
      <c r="B42" t="s">
        <v>73</v>
      </c>
      <c r="C42" t="s">
        <v>24</v>
      </c>
      <c r="D42" t="s">
        <v>17</v>
      </c>
      <c r="E42" t="s">
        <v>46</v>
      </c>
      <c r="F42" t="s">
        <v>72</v>
      </c>
      <c r="G42" t="s">
        <v>20</v>
      </c>
      <c r="H42">
        <v>19</v>
      </c>
      <c r="I42">
        <v>200</v>
      </c>
      <c r="J42">
        <v>0</v>
      </c>
      <c r="K42">
        <v>3800</v>
      </c>
      <c r="L42">
        <v>2280</v>
      </c>
      <c r="M42">
        <v>1520</v>
      </c>
      <c r="N42" t="s">
        <v>44</v>
      </c>
      <c r="O42" t="s">
        <v>40</v>
      </c>
      <c r="P42" t="str">
        <f>IF(SalesTable[[#This Row],[SalesAmount]]&gt;400000,"high sales","low sales")</f>
        <v>low sales</v>
      </c>
      <c r="Q42" t="b">
        <f>AND(SalesTable[[#This Row],[SalesAmount]]&gt;300000,SalesTable[[#This Row],[PaymentMode]]="Cash")</f>
        <v>0</v>
      </c>
      <c r="R42" t="b">
        <f>OR(SalesTable[[#This Row],[SalesAmount]]&gt;300000,SalesTable[[#This Row],[PaymentMode]]="Cash")</f>
        <v>0</v>
      </c>
      <c r="S42" t="b">
        <f>NOT(SalesTable[[#This Row],[SalesAmount]]&gt;500)</f>
        <v>0</v>
      </c>
      <c r="T42">
        <f>IFERROR(SalesTable[[#This Row],[Profit]]/SalesTable[[#This Row],[SalesAmount]],"no sales")</f>
        <v>0.4</v>
      </c>
      <c r="U42" t="str">
        <f>UPPER(SalesTable[[#This Row],[Salesperson]])</f>
        <v>PRIYA</v>
      </c>
      <c r="V42" t="str">
        <f>LOWER(SalesTable[[#This Row],[Salesperson]])</f>
        <v>priya</v>
      </c>
      <c r="W42" t="str">
        <f>LEFT(SalesTable[[#This Row],[uppercase ]],2)</f>
        <v>PR</v>
      </c>
      <c r="X42" t="str">
        <f>RIGHT(SalesTable[[#This Row],[uppercase ]],3)</f>
        <v>IYA</v>
      </c>
      <c r="Y42" t="str">
        <f>MID(SalesTable[[#This Row],[uppercase ]],2,2)</f>
        <v>RI</v>
      </c>
      <c r="Z42" t="str">
        <f>_xlfn.CONCAT(SalesTable[[#This Row],[left fn ]],SalesTable[[#This Row],[right]])</f>
        <v>PRIYA</v>
      </c>
      <c r="AA42">
        <f>LEN(SalesTable[[#This Row],[uppercase ]])</f>
        <v>5</v>
      </c>
      <c r="AB42" t="str">
        <f>TRIM(SalesTable[[#This Row],[Segment]])</f>
        <v>Corporate</v>
      </c>
      <c r="AC42" t="str">
        <f>_xlfn.TEXTJOIN("-",TRUE,SalesTable[[#This Row],[lowercase]],SalesTable[[#This Row],[middle]])</f>
        <v>priya-RI</v>
      </c>
      <c r="AD42">
        <f>FIND(SalesTable[[#This Row],[middle]],SalesTable[[#This Row],[concatenate ]],1)</f>
        <v>2</v>
      </c>
      <c r="AE42" s="1">
        <f t="shared" ca="1" si="3"/>
        <v>46087</v>
      </c>
      <c r="AF42" s="2">
        <f t="shared" ca="1" si="4"/>
        <v>46087.6708125</v>
      </c>
      <c r="AG42">
        <f>DAY(SalesTable[[#This Row],[OrderDate]])</f>
        <v>15</v>
      </c>
      <c r="AH42">
        <f>MONTH(SalesTable[[#This Row],[OrderDate]])</f>
        <v>2</v>
      </c>
      <c r="AI42">
        <f>YEAR(SalesTable[[#This Row],[OrderDate]])</f>
        <v>2025</v>
      </c>
      <c r="AJ42" t="str">
        <f>TEXT(SalesTable[[#This Row],[OrderDate]],"dddd")</f>
        <v>Saturday</v>
      </c>
      <c r="AK42">
        <f>WEEKDAY(SalesTable[[#This Row],[OrderDate]])</f>
        <v>7</v>
      </c>
      <c r="AL42" s="3">
        <f t="shared" si="5"/>
        <v>0.4375</v>
      </c>
      <c r="AM42">
        <f>HOUR(SalesTable[[#This Row],[time ]])</f>
        <v>10</v>
      </c>
      <c r="AN42">
        <f>MINUTE(SalesTable[[#This Row],[time ]])</f>
        <v>30</v>
      </c>
    </row>
    <row r="43" spans="1:40" x14ac:dyDescent="0.35">
      <c r="A43">
        <v>1042</v>
      </c>
      <c r="B43" t="s">
        <v>78</v>
      </c>
      <c r="C43" t="s">
        <v>16</v>
      </c>
      <c r="D43" t="s">
        <v>25</v>
      </c>
      <c r="E43" t="s">
        <v>46</v>
      </c>
      <c r="F43" t="s">
        <v>47</v>
      </c>
      <c r="G43" t="s">
        <v>52</v>
      </c>
      <c r="H43">
        <v>4</v>
      </c>
      <c r="I43">
        <v>100</v>
      </c>
      <c r="J43">
        <v>0.02</v>
      </c>
      <c r="K43">
        <v>0</v>
      </c>
      <c r="L43">
        <v>200</v>
      </c>
      <c r="M43">
        <v>192</v>
      </c>
      <c r="N43" t="s">
        <v>29</v>
      </c>
      <c r="O43" t="s">
        <v>40</v>
      </c>
      <c r="P43" t="str">
        <f>IF(SalesTable[[#This Row],[SalesAmount]]&gt;400000,"high sales","low sales")</f>
        <v>low sales</v>
      </c>
      <c r="Q43" t="b">
        <f>AND(SalesTable[[#This Row],[SalesAmount]]&gt;300000,SalesTable[[#This Row],[PaymentMode]]="Cash")</f>
        <v>0</v>
      </c>
      <c r="R43" t="b">
        <f>OR(SalesTable[[#This Row],[SalesAmount]]&gt;300000,SalesTable[[#This Row],[PaymentMode]]="Cash")</f>
        <v>1</v>
      </c>
      <c r="S43" t="b">
        <f>NOT(SalesTable[[#This Row],[SalesAmount]]&gt;500)</f>
        <v>1</v>
      </c>
      <c r="T43" t="str">
        <f>IFERROR(SalesTable[[#This Row],[Profit]]/SalesTable[[#This Row],[SalesAmount]],"no sales")</f>
        <v>no sales</v>
      </c>
      <c r="U43" t="str">
        <f>UPPER(SalesTable[[#This Row],[Salesperson]])</f>
        <v>AMIT</v>
      </c>
      <c r="V43" t="str">
        <f>LOWER(SalesTable[[#This Row],[Salesperson]])</f>
        <v>amit</v>
      </c>
      <c r="W43" t="str">
        <f>LEFT(SalesTable[[#This Row],[uppercase ]],2)</f>
        <v>AM</v>
      </c>
      <c r="X43" t="str">
        <f>RIGHT(SalesTable[[#This Row],[uppercase ]],3)</f>
        <v>MIT</v>
      </c>
      <c r="Y43" t="str">
        <f>MID(SalesTable[[#This Row],[uppercase ]],2,2)</f>
        <v>MI</v>
      </c>
      <c r="Z43" t="str">
        <f>_xlfn.CONCAT(SalesTable[[#This Row],[left fn ]],SalesTable[[#This Row],[right]])</f>
        <v>AMMIT</v>
      </c>
      <c r="AA43">
        <f>LEN(SalesTable[[#This Row],[uppercase ]])</f>
        <v>4</v>
      </c>
      <c r="AB43" t="str">
        <f>TRIM(SalesTable[[#This Row],[Segment]])</f>
        <v>Consumer</v>
      </c>
      <c r="AC43" t="str">
        <f>_xlfn.TEXTJOIN("-",TRUE,SalesTable[[#This Row],[lowercase]],SalesTable[[#This Row],[middle]])</f>
        <v>amit-MI</v>
      </c>
      <c r="AD43">
        <f>FIND(SalesTable[[#This Row],[middle]],SalesTable[[#This Row],[concatenate ]],1)</f>
        <v>3</v>
      </c>
      <c r="AE43" s="1">
        <f t="shared" ca="1" si="3"/>
        <v>46087</v>
      </c>
      <c r="AF43" s="2">
        <f t="shared" ca="1" si="4"/>
        <v>46087.6708125</v>
      </c>
      <c r="AG43">
        <f>DAY(SalesTable[[#This Row],[OrderDate]])</f>
        <v>10</v>
      </c>
      <c r="AH43">
        <f>MONTH(SalesTable[[#This Row],[OrderDate]])</f>
        <v>1</v>
      </c>
      <c r="AI43">
        <f>YEAR(SalesTable[[#This Row],[OrderDate]])</f>
        <v>2025</v>
      </c>
      <c r="AJ43" t="str">
        <f>TEXT(SalesTable[[#This Row],[OrderDate]],"dddd")</f>
        <v>Friday</v>
      </c>
      <c r="AK43">
        <f>WEEKDAY(SalesTable[[#This Row],[OrderDate]])</f>
        <v>6</v>
      </c>
      <c r="AL43" s="3">
        <f t="shared" si="5"/>
        <v>0.4375</v>
      </c>
      <c r="AM43">
        <f>HOUR(SalesTable[[#This Row],[time ]])</f>
        <v>10</v>
      </c>
      <c r="AN43">
        <f>MINUTE(SalesTable[[#This Row],[time ]])</f>
        <v>30</v>
      </c>
    </row>
    <row r="44" spans="1:40" x14ac:dyDescent="0.35">
      <c r="A44">
        <v>1043</v>
      </c>
      <c r="B44" t="s">
        <v>78</v>
      </c>
      <c r="C44" t="s">
        <v>24</v>
      </c>
      <c r="D44" t="s">
        <v>17</v>
      </c>
      <c r="E44" t="s">
        <v>26</v>
      </c>
      <c r="F44" t="s">
        <v>50</v>
      </c>
      <c r="G44" t="s">
        <v>20</v>
      </c>
      <c r="H44">
        <v>2</v>
      </c>
      <c r="I44">
        <v>55000</v>
      </c>
      <c r="J44">
        <v>0.08</v>
      </c>
      <c r="K44">
        <v>101200</v>
      </c>
      <c r="L44">
        <v>100000</v>
      </c>
      <c r="M44">
        <v>1200</v>
      </c>
      <c r="N44" t="s">
        <v>29</v>
      </c>
      <c r="O44" t="s">
        <v>30</v>
      </c>
      <c r="P44" t="str">
        <f>IF(SalesTable[[#This Row],[SalesAmount]]&gt;400000,"high sales","low sales")</f>
        <v>low sales</v>
      </c>
      <c r="Q44" t="b">
        <f>AND(SalesTable[[#This Row],[SalesAmount]]&gt;300000,SalesTable[[#This Row],[PaymentMode]]="Cash")</f>
        <v>0</v>
      </c>
      <c r="R44" t="b">
        <f>OR(SalesTable[[#This Row],[SalesAmount]]&gt;300000,SalesTable[[#This Row],[PaymentMode]]="Cash")</f>
        <v>1</v>
      </c>
      <c r="S44" t="b">
        <f>NOT(SalesTable[[#This Row],[SalesAmount]]&gt;500)</f>
        <v>0</v>
      </c>
      <c r="T44">
        <f>IFERROR(SalesTable[[#This Row],[Profit]]/SalesTable[[#This Row],[SalesAmount]],"no sales")</f>
        <v>1.1857707509881422E-2</v>
      </c>
      <c r="U44" t="str">
        <f>UPPER(SalesTable[[#This Row],[Salesperson]])</f>
        <v>PRIYA</v>
      </c>
      <c r="V44" t="str">
        <f>LOWER(SalesTable[[#This Row],[Salesperson]])</f>
        <v>priya</v>
      </c>
      <c r="W44" t="str">
        <f>LEFT(SalesTable[[#This Row],[uppercase ]],2)</f>
        <v>PR</v>
      </c>
      <c r="X44" t="str">
        <f>RIGHT(SalesTable[[#This Row],[uppercase ]],3)</f>
        <v>IYA</v>
      </c>
      <c r="Y44" t="str">
        <f>MID(SalesTable[[#This Row],[uppercase ]],2,2)</f>
        <v>RI</v>
      </c>
      <c r="Z44" t="str">
        <f>_xlfn.CONCAT(SalesTable[[#This Row],[left fn ]],SalesTable[[#This Row],[right]])</f>
        <v>PRIYA</v>
      </c>
      <c r="AA44">
        <f>LEN(SalesTable[[#This Row],[uppercase ]])</f>
        <v>5</v>
      </c>
      <c r="AB44" t="str">
        <f>TRIM(SalesTable[[#This Row],[Segment]])</f>
        <v>Corporate</v>
      </c>
      <c r="AC44" t="str">
        <f>_xlfn.TEXTJOIN("-",TRUE,SalesTable[[#This Row],[lowercase]],SalesTable[[#This Row],[middle]])</f>
        <v>priya-RI</v>
      </c>
      <c r="AD44">
        <f>FIND(SalesTable[[#This Row],[middle]],SalesTable[[#This Row],[concatenate ]],1)</f>
        <v>2</v>
      </c>
      <c r="AE44" s="1">
        <f t="shared" ca="1" si="3"/>
        <v>46087</v>
      </c>
      <c r="AF44" s="2">
        <f t="shared" ca="1" si="4"/>
        <v>46087.6708125</v>
      </c>
      <c r="AG44">
        <f>DAY(SalesTable[[#This Row],[OrderDate]])</f>
        <v>10</v>
      </c>
      <c r="AH44">
        <f>MONTH(SalesTable[[#This Row],[OrderDate]])</f>
        <v>1</v>
      </c>
      <c r="AI44">
        <f>YEAR(SalesTable[[#This Row],[OrderDate]])</f>
        <v>2025</v>
      </c>
      <c r="AJ44" t="str">
        <f>TEXT(SalesTable[[#This Row],[OrderDate]],"dddd")</f>
        <v>Friday</v>
      </c>
      <c r="AK44">
        <f>WEEKDAY(SalesTable[[#This Row],[OrderDate]])</f>
        <v>6</v>
      </c>
      <c r="AL44" s="3">
        <f t="shared" si="5"/>
        <v>0.4375</v>
      </c>
      <c r="AM44">
        <f>HOUR(SalesTable[[#This Row],[time ]])</f>
        <v>10</v>
      </c>
      <c r="AN44">
        <f>MINUTE(SalesTable[[#This Row],[time ]])</f>
        <v>30</v>
      </c>
    </row>
    <row r="45" spans="1:40" x14ac:dyDescent="0.35">
      <c r="A45">
        <v>1044</v>
      </c>
      <c r="B45" t="s">
        <v>79</v>
      </c>
      <c r="C45" t="s">
        <v>32</v>
      </c>
      <c r="D45" t="s">
        <v>25</v>
      </c>
      <c r="E45" t="s">
        <v>18</v>
      </c>
      <c r="F45" t="s">
        <v>19</v>
      </c>
      <c r="G45" t="s">
        <v>20</v>
      </c>
      <c r="H45">
        <v>19</v>
      </c>
      <c r="I45">
        <v>3000</v>
      </c>
      <c r="J45">
        <v>0</v>
      </c>
      <c r="K45">
        <v>57000</v>
      </c>
      <c r="L45">
        <v>38000</v>
      </c>
      <c r="M45">
        <v>19000</v>
      </c>
      <c r="N45" t="s">
        <v>21</v>
      </c>
      <c r="O45" t="s">
        <v>22</v>
      </c>
      <c r="P45" t="str">
        <f>IF(SalesTable[[#This Row],[SalesAmount]]&gt;400000,"high sales","low sales")</f>
        <v>low sales</v>
      </c>
      <c r="Q45" t="b">
        <f>AND(SalesTable[[#This Row],[SalesAmount]]&gt;300000,SalesTable[[#This Row],[PaymentMode]]="Cash")</f>
        <v>0</v>
      </c>
      <c r="R45" t="b">
        <f>OR(SalesTable[[#This Row],[SalesAmount]]&gt;300000,SalesTable[[#This Row],[PaymentMode]]="Cash")</f>
        <v>0</v>
      </c>
      <c r="S45" t="b">
        <f>NOT(SalesTable[[#This Row],[SalesAmount]]&gt;500)</f>
        <v>0</v>
      </c>
      <c r="T45">
        <f>IFERROR(SalesTable[[#This Row],[Profit]]/SalesTable[[#This Row],[SalesAmount]],"no sales")</f>
        <v>0.33333333333333331</v>
      </c>
      <c r="U45" t="str">
        <f>UPPER(SalesTable[[#This Row],[Salesperson]])</f>
        <v>AMIT</v>
      </c>
      <c r="V45" t="str">
        <f>LOWER(SalesTable[[#This Row],[Salesperson]])</f>
        <v>amit</v>
      </c>
      <c r="W45" t="str">
        <f>LEFT(SalesTable[[#This Row],[uppercase ]],2)</f>
        <v>AM</v>
      </c>
      <c r="X45" t="str">
        <f>RIGHT(SalesTable[[#This Row],[uppercase ]],3)</f>
        <v>MIT</v>
      </c>
      <c r="Y45" t="str">
        <f>MID(SalesTable[[#This Row],[uppercase ]],2,2)</f>
        <v>MI</v>
      </c>
      <c r="Z45" t="str">
        <f>_xlfn.CONCAT(SalesTable[[#This Row],[left fn ]],SalesTable[[#This Row],[right]])</f>
        <v>AMMIT</v>
      </c>
      <c r="AA45">
        <f>LEN(SalesTable[[#This Row],[uppercase ]])</f>
        <v>4</v>
      </c>
      <c r="AB45" t="str">
        <f>TRIM(SalesTable[[#This Row],[Segment]])</f>
        <v>Corporate</v>
      </c>
      <c r="AC45" t="str">
        <f>_xlfn.TEXTJOIN("-",TRUE,SalesTable[[#This Row],[lowercase]],SalesTable[[#This Row],[middle]])</f>
        <v>amit-MI</v>
      </c>
      <c r="AD45">
        <f>FIND(SalesTable[[#This Row],[middle]],SalesTable[[#This Row],[concatenate ]],1)</f>
        <v>3</v>
      </c>
      <c r="AE45" s="1">
        <f t="shared" ca="1" si="3"/>
        <v>46087</v>
      </c>
      <c r="AF45" s="2">
        <f t="shared" ca="1" si="4"/>
        <v>46087.6708125</v>
      </c>
      <c r="AG45">
        <f>DAY(SalesTable[[#This Row],[OrderDate]])</f>
        <v>12</v>
      </c>
      <c r="AH45">
        <f>MONTH(SalesTable[[#This Row],[OrderDate]])</f>
        <v>1</v>
      </c>
      <c r="AI45">
        <f>YEAR(SalesTable[[#This Row],[OrderDate]])</f>
        <v>2025</v>
      </c>
      <c r="AJ45" t="str">
        <f>TEXT(SalesTable[[#This Row],[OrderDate]],"dddd")</f>
        <v>Sunday</v>
      </c>
      <c r="AK45">
        <f>WEEKDAY(SalesTable[[#This Row],[OrderDate]])</f>
        <v>1</v>
      </c>
      <c r="AL45" s="3">
        <f t="shared" si="5"/>
        <v>0.4375</v>
      </c>
      <c r="AM45">
        <f>HOUR(SalesTable[[#This Row],[time ]])</f>
        <v>10</v>
      </c>
      <c r="AN45">
        <f>MINUTE(SalesTable[[#This Row],[time ]])</f>
        <v>30</v>
      </c>
    </row>
    <row r="46" spans="1:40" x14ac:dyDescent="0.35">
      <c r="A46">
        <v>1045</v>
      </c>
      <c r="B46" t="s">
        <v>80</v>
      </c>
      <c r="C46" t="s">
        <v>16</v>
      </c>
      <c r="D46" t="s">
        <v>17</v>
      </c>
      <c r="E46" t="s">
        <v>26</v>
      </c>
      <c r="F46" t="s">
        <v>50</v>
      </c>
      <c r="G46" t="s">
        <v>52</v>
      </c>
      <c r="H46">
        <v>19</v>
      </c>
      <c r="I46">
        <v>55000</v>
      </c>
      <c r="J46">
        <v>0.1</v>
      </c>
      <c r="K46">
        <v>940500</v>
      </c>
      <c r="L46">
        <v>950000</v>
      </c>
      <c r="M46">
        <v>-9500</v>
      </c>
      <c r="N46" t="s">
        <v>44</v>
      </c>
      <c r="O46" t="s">
        <v>22</v>
      </c>
      <c r="P46" t="str">
        <f>IF(SalesTable[[#This Row],[SalesAmount]]&gt;400000,"high sales","low sales")</f>
        <v>high sales</v>
      </c>
      <c r="Q46" t="b">
        <f>AND(SalesTable[[#This Row],[SalesAmount]]&gt;300000,SalesTable[[#This Row],[PaymentMode]]="Cash")</f>
        <v>0</v>
      </c>
      <c r="R46" t="b">
        <f>OR(SalesTable[[#This Row],[SalesAmount]]&gt;300000,SalesTable[[#This Row],[PaymentMode]]="Cash")</f>
        <v>1</v>
      </c>
      <c r="S46" t="b">
        <f>NOT(SalesTable[[#This Row],[SalesAmount]]&gt;500)</f>
        <v>0</v>
      </c>
      <c r="T46">
        <f>IFERROR(SalesTable[[#This Row],[Profit]]/SalesTable[[#This Row],[SalesAmount]],"no sales")</f>
        <v>-1.0101010101010102E-2</v>
      </c>
      <c r="U46" t="str">
        <f>UPPER(SalesTable[[#This Row],[Salesperson]])</f>
        <v>PRIYA</v>
      </c>
      <c r="V46" t="str">
        <f>LOWER(SalesTable[[#This Row],[Salesperson]])</f>
        <v>priya</v>
      </c>
      <c r="W46" t="str">
        <f>LEFT(SalesTable[[#This Row],[uppercase ]],2)</f>
        <v>PR</v>
      </c>
      <c r="X46" t="str">
        <f>RIGHT(SalesTable[[#This Row],[uppercase ]],3)</f>
        <v>IYA</v>
      </c>
      <c r="Y46" t="str">
        <f>MID(SalesTable[[#This Row],[uppercase ]],2,2)</f>
        <v>RI</v>
      </c>
      <c r="Z46" t="str">
        <f>_xlfn.CONCAT(SalesTable[[#This Row],[left fn ]],SalesTable[[#This Row],[right]])</f>
        <v>PRIYA</v>
      </c>
      <c r="AA46">
        <f>LEN(SalesTable[[#This Row],[uppercase ]])</f>
        <v>5</v>
      </c>
      <c r="AB46" t="str">
        <f>TRIM(SalesTable[[#This Row],[Segment]])</f>
        <v>Consumer</v>
      </c>
      <c r="AC46" t="str">
        <f>_xlfn.TEXTJOIN("-",TRUE,SalesTable[[#This Row],[lowercase]],SalesTable[[#This Row],[middle]])</f>
        <v>priya-RI</v>
      </c>
      <c r="AD46">
        <f>FIND(SalesTable[[#This Row],[middle]],SalesTable[[#This Row],[concatenate ]],1)</f>
        <v>2</v>
      </c>
      <c r="AE46" s="1">
        <f t="shared" ca="1" si="3"/>
        <v>46087</v>
      </c>
      <c r="AF46" s="2">
        <f t="shared" ca="1" si="4"/>
        <v>46087.6708125</v>
      </c>
      <c r="AG46">
        <f>DAY(SalesTable[[#This Row],[OrderDate]])</f>
        <v>7</v>
      </c>
      <c r="AH46">
        <f>MONTH(SalesTable[[#This Row],[OrderDate]])</f>
        <v>1</v>
      </c>
      <c r="AI46">
        <f>YEAR(SalesTable[[#This Row],[OrderDate]])</f>
        <v>2025</v>
      </c>
      <c r="AJ46" t="str">
        <f>TEXT(SalesTable[[#This Row],[OrderDate]],"dddd")</f>
        <v>Tuesday</v>
      </c>
      <c r="AK46">
        <f>WEEKDAY(SalesTable[[#This Row],[OrderDate]])</f>
        <v>3</v>
      </c>
      <c r="AL46" s="3">
        <f t="shared" si="5"/>
        <v>0.4375</v>
      </c>
      <c r="AM46">
        <f>HOUR(SalesTable[[#This Row],[time ]])</f>
        <v>10</v>
      </c>
      <c r="AN46">
        <f>MINUTE(SalesTable[[#This Row],[time ]])</f>
        <v>30</v>
      </c>
    </row>
    <row r="47" spans="1:40" x14ac:dyDescent="0.35">
      <c r="A47">
        <v>1046</v>
      </c>
      <c r="B47" t="s">
        <v>31</v>
      </c>
      <c r="C47" t="s">
        <v>24</v>
      </c>
      <c r="D47" t="s">
        <v>42</v>
      </c>
      <c r="E47" t="s">
        <v>18</v>
      </c>
      <c r="F47" t="s">
        <v>38</v>
      </c>
      <c r="G47" t="s">
        <v>52</v>
      </c>
      <c r="H47">
        <v>18</v>
      </c>
      <c r="I47">
        <v>35000</v>
      </c>
      <c r="J47">
        <v>0.02</v>
      </c>
      <c r="K47">
        <v>617400</v>
      </c>
      <c r="L47">
        <v>450000</v>
      </c>
      <c r="M47">
        <v>167400</v>
      </c>
      <c r="N47" t="s">
        <v>39</v>
      </c>
      <c r="O47" t="s">
        <v>40</v>
      </c>
      <c r="P47" t="str">
        <f>IF(SalesTable[[#This Row],[SalesAmount]]&gt;400000,"high sales","low sales")</f>
        <v>high sales</v>
      </c>
      <c r="Q47" t="b">
        <f>AND(SalesTable[[#This Row],[SalesAmount]]&gt;300000,SalesTable[[#This Row],[PaymentMode]]="Cash")</f>
        <v>0</v>
      </c>
      <c r="R47" t="b">
        <f>OR(SalesTable[[#This Row],[SalesAmount]]&gt;300000,SalesTable[[#This Row],[PaymentMode]]="Cash")</f>
        <v>1</v>
      </c>
      <c r="S47" t="b">
        <f>NOT(SalesTable[[#This Row],[SalesAmount]]&gt;500)</f>
        <v>0</v>
      </c>
      <c r="T47">
        <f>IFERROR(SalesTable[[#This Row],[Profit]]/SalesTable[[#This Row],[SalesAmount]],"no sales")</f>
        <v>0.27113702623906705</v>
      </c>
      <c r="U47" t="str">
        <f>UPPER(SalesTable[[#This Row],[Salesperson]])</f>
        <v>SNEHA</v>
      </c>
      <c r="V47" t="str">
        <f>LOWER(SalesTable[[#This Row],[Salesperson]])</f>
        <v>sneha</v>
      </c>
      <c r="W47" t="str">
        <f>LEFT(SalesTable[[#This Row],[uppercase ]],2)</f>
        <v>SN</v>
      </c>
      <c r="X47" t="str">
        <f>RIGHT(SalesTable[[#This Row],[uppercase ]],3)</f>
        <v>EHA</v>
      </c>
      <c r="Y47" t="str">
        <f>MID(SalesTable[[#This Row],[uppercase ]],2,2)</f>
        <v>NE</v>
      </c>
      <c r="Z47" t="str">
        <f>_xlfn.CONCAT(SalesTable[[#This Row],[left fn ]],SalesTable[[#This Row],[right]])</f>
        <v>SNEHA</v>
      </c>
      <c r="AA47">
        <f>LEN(SalesTable[[#This Row],[uppercase ]])</f>
        <v>5</v>
      </c>
      <c r="AB47" t="str">
        <f>TRIM(SalesTable[[#This Row],[Segment]])</f>
        <v>Consumer</v>
      </c>
      <c r="AC47" t="str">
        <f>_xlfn.TEXTJOIN("-",TRUE,SalesTable[[#This Row],[lowercase]],SalesTable[[#This Row],[middle]])</f>
        <v>sneha-NE</v>
      </c>
      <c r="AD47">
        <f>FIND(SalesTable[[#This Row],[middle]],SalesTable[[#This Row],[concatenate ]],1)</f>
        <v>2</v>
      </c>
      <c r="AE47" s="1">
        <f t="shared" ca="1" si="3"/>
        <v>46087</v>
      </c>
      <c r="AF47" s="2">
        <f t="shared" ca="1" si="4"/>
        <v>46087.6708125</v>
      </c>
      <c r="AG47">
        <f>DAY(SalesTable[[#This Row],[OrderDate]])</f>
        <v>23</v>
      </c>
      <c r="AH47">
        <f>MONTH(SalesTable[[#This Row],[OrderDate]])</f>
        <v>2</v>
      </c>
      <c r="AI47">
        <f>YEAR(SalesTable[[#This Row],[OrderDate]])</f>
        <v>2025</v>
      </c>
      <c r="AJ47" t="str">
        <f>TEXT(SalesTable[[#This Row],[OrderDate]],"dddd")</f>
        <v>Sunday</v>
      </c>
      <c r="AK47">
        <f>WEEKDAY(SalesTable[[#This Row],[OrderDate]])</f>
        <v>1</v>
      </c>
      <c r="AL47" s="3">
        <f t="shared" si="5"/>
        <v>0.4375</v>
      </c>
      <c r="AM47">
        <f>HOUR(SalesTable[[#This Row],[time ]])</f>
        <v>10</v>
      </c>
      <c r="AN47">
        <f>MINUTE(SalesTable[[#This Row],[time ]])</f>
        <v>30</v>
      </c>
    </row>
    <row r="48" spans="1:40" x14ac:dyDescent="0.35">
      <c r="A48">
        <v>1047</v>
      </c>
      <c r="B48" t="s">
        <v>81</v>
      </c>
      <c r="C48" t="s">
        <v>16</v>
      </c>
      <c r="D48" t="s">
        <v>17</v>
      </c>
      <c r="E48" t="s">
        <v>18</v>
      </c>
      <c r="F48" t="s">
        <v>43</v>
      </c>
      <c r="G48" t="s">
        <v>28</v>
      </c>
      <c r="H48">
        <v>10</v>
      </c>
      <c r="I48">
        <v>12000</v>
      </c>
      <c r="J48">
        <v>0.05</v>
      </c>
      <c r="K48">
        <v>114000</v>
      </c>
      <c r="L48">
        <v>80000</v>
      </c>
      <c r="M48">
        <v>34000</v>
      </c>
      <c r="N48" t="s">
        <v>39</v>
      </c>
      <c r="O48" t="s">
        <v>22</v>
      </c>
      <c r="P48" t="str">
        <f>IF(SalesTable[[#This Row],[SalesAmount]]&gt;400000,"high sales","low sales")</f>
        <v>low sales</v>
      </c>
      <c r="Q48" t="b">
        <f>AND(SalesTable[[#This Row],[SalesAmount]]&gt;300000,SalesTable[[#This Row],[PaymentMode]]="Cash")</f>
        <v>0</v>
      </c>
      <c r="R48" t="b">
        <f>OR(SalesTable[[#This Row],[SalesAmount]]&gt;300000,SalesTable[[#This Row],[PaymentMode]]="Cash")</f>
        <v>0</v>
      </c>
      <c r="S48" t="b">
        <f>NOT(SalesTable[[#This Row],[SalesAmount]]&gt;500)</f>
        <v>0</v>
      </c>
      <c r="T48">
        <f>IFERROR(SalesTable[[#This Row],[Profit]]/SalesTable[[#This Row],[SalesAmount]],"no sales")</f>
        <v>0.2982456140350877</v>
      </c>
      <c r="U48" t="str">
        <f>UPPER(SalesTable[[#This Row],[Salesperson]])</f>
        <v>PRIYA</v>
      </c>
      <c r="V48" t="str">
        <f>LOWER(SalesTable[[#This Row],[Salesperson]])</f>
        <v>priya</v>
      </c>
      <c r="W48" t="str">
        <f>LEFT(SalesTable[[#This Row],[uppercase ]],2)</f>
        <v>PR</v>
      </c>
      <c r="X48" t="str">
        <f>RIGHT(SalesTable[[#This Row],[uppercase ]],3)</f>
        <v>IYA</v>
      </c>
      <c r="Y48" t="str">
        <f>MID(SalesTable[[#This Row],[uppercase ]],2,2)</f>
        <v>RI</v>
      </c>
      <c r="Z48" t="str">
        <f>_xlfn.CONCAT(SalesTable[[#This Row],[left fn ]],SalesTable[[#This Row],[right]])</f>
        <v>PRIYA</v>
      </c>
      <c r="AA48">
        <f>LEN(SalesTable[[#This Row],[uppercase ]])</f>
        <v>5</v>
      </c>
      <c r="AB48" t="str">
        <f>TRIM(SalesTable[[#This Row],[Segment]])</f>
        <v>Home Office</v>
      </c>
      <c r="AC48" t="str">
        <f>_xlfn.TEXTJOIN("-",TRUE,SalesTable[[#This Row],[lowercase]],SalesTable[[#This Row],[middle]])</f>
        <v>priya-RI</v>
      </c>
      <c r="AD48">
        <f>FIND(SalesTable[[#This Row],[middle]],SalesTable[[#This Row],[concatenate ]],1)</f>
        <v>2</v>
      </c>
      <c r="AE48" s="1">
        <f t="shared" ca="1" si="3"/>
        <v>46087</v>
      </c>
      <c r="AF48" s="2">
        <f t="shared" ca="1" si="4"/>
        <v>46087.6708125</v>
      </c>
      <c r="AG48">
        <f>DAY(SalesTable[[#This Row],[OrderDate]])</f>
        <v>29</v>
      </c>
      <c r="AH48">
        <f>MONTH(SalesTable[[#This Row],[OrderDate]])</f>
        <v>1</v>
      </c>
      <c r="AI48">
        <f>YEAR(SalesTable[[#This Row],[OrderDate]])</f>
        <v>2025</v>
      </c>
      <c r="AJ48" t="str">
        <f>TEXT(SalesTable[[#This Row],[OrderDate]],"dddd")</f>
        <v>Wednesday</v>
      </c>
      <c r="AK48">
        <f>WEEKDAY(SalesTable[[#This Row],[OrderDate]])</f>
        <v>4</v>
      </c>
      <c r="AL48" s="3">
        <f t="shared" si="5"/>
        <v>0.4375</v>
      </c>
      <c r="AM48">
        <f>HOUR(SalesTable[[#This Row],[time ]])</f>
        <v>10</v>
      </c>
      <c r="AN48">
        <f>MINUTE(SalesTable[[#This Row],[time ]])</f>
        <v>30</v>
      </c>
    </row>
    <row r="49" spans="1:40" x14ac:dyDescent="0.35">
      <c r="A49">
        <v>1048</v>
      </c>
      <c r="B49" t="s">
        <v>82</v>
      </c>
      <c r="C49" t="s">
        <v>35</v>
      </c>
      <c r="D49" t="s">
        <v>17</v>
      </c>
      <c r="E49" t="s">
        <v>26</v>
      </c>
      <c r="F49" t="s">
        <v>27</v>
      </c>
      <c r="G49" t="s">
        <v>20</v>
      </c>
      <c r="H49">
        <v>19</v>
      </c>
      <c r="I49">
        <v>15000</v>
      </c>
      <c r="J49">
        <v>0</v>
      </c>
      <c r="K49">
        <v>285000</v>
      </c>
      <c r="L49">
        <v>228000</v>
      </c>
      <c r="M49">
        <v>57000</v>
      </c>
      <c r="N49" t="s">
        <v>21</v>
      </c>
      <c r="O49" t="s">
        <v>22</v>
      </c>
      <c r="P49" t="str">
        <f>IF(SalesTable[[#This Row],[SalesAmount]]&gt;400000,"high sales","low sales")</f>
        <v>low sales</v>
      </c>
      <c r="Q49" t="b">
        <f>AND(SalesTable[[#This Row],[SalesAmount]]&gt;300000,SalesTable[[#This Row],[PaymentMode]]="Cash")</f>
        <v>0</v>
      </c>
      <c r="R49" t="b">
        <f>OR(SalesTable[[#This Row],[SalesAmount]]&gt;300000,SalesTable[[#This Row],[PaymentMode]]="Cash")</f>
        <v>0</v>
      </c>
      <c r="S49" t="b">
        <f>NOT(SalesTable[[#This Row],[SalesAmount]]&gt;500)</f>
        <v>0</v>
      </c>
      <c r="T49">
        <f>IFERROR(SalesTable[[#This Row],[Profit]]/SalesTable[[#This Row],[SalesAmount]],"no sales")</f>
        <v>0.2</v>
      </c>
      <c r="U49" t="str">
        <f>UPPER(SalesTable[[#This Row],[Salesperson]])</f>
        <v>PRIYA</v>
      </c>
      <c r="V49" t="str">
        <f>LOWER(SalesTable[[#This Row],[Salesperson]])</f>
        <v>priya</v>
      </c>
      <c r="W49" t="str">
        <f>LEFT(SalesTable[[#This Row],[uppercase ]],2)</f>
        <v>PR</v>
      </c>
      <c r="X49" t="str">
        <f>RIGHT(SalesTable[[#This Row],[uppercase ]],3)</f>
        <v>IYA</v>
      </c>
      <c r="Y49" t="str">
        <f>MID(SalesTable[[#This Row],[uppercase ]],2,2)</f>
        <v>RI</v>
      </c>
      <c r="Z49" t="str">
        <f>_xlfn.CONCAT(SalesTable[[#This Row],[left fn ]],SalesTable[[#This Row],[right]])</f>
        <v>PRIYA</v>
      </c>
      <c r="AA49">
        <f>LEN(SalesTable[[#This Row],[uppercase ]])</f>
        <v>5</v>
      </c>
      <c r="AB49" t="str">
        <f>TRIM(SalesTable[[#This Row],[Segment]])</f>
        <v>Corporate</v>
      </c>
      <c r="AC49" t="str">
        <f>_xlfn.TEXTJOIN("-",TRUE,SalesTable[[#This Row],[lowercase]],SalesTable[[#This Row],[middle]])</f>
        <v>priya-RI</v>
      </c>
      <c r="AD49">
        <f>FIND(SalesTable[[#This Row],[middle]],SalesTable[[#This Row],[concatenate ]],1)</f>
        <v>2</v>
      </c>
      <c r="AE49" s="1">
        <f t="shared" ca="1" si="3"/>
        <v>46087</v>
      </c>
      <c r="AF49" s="2">
        <f t="shared" ca="1" si="4"/>
        <v>46087.6708125</v>
      </c>
      <c r="AG49">
        <f>DAY(SalesTable[[#This Row],[OrderDate]])</f>
        <v>9</v>
      </c>
      <c r="AH49">
        <f>MONTH(SalesTable[[#This Row],[OrderDate]])</f>
        <v>1</v>
      </c>
      <c r="AI49">
        <f>YEAR(SalesTable[[#This Row],[OrderDate]])</f>
        <v>2025</v>
      </c>
      <c r="AJ49" t="str">
        <f>TEXT(SalesTable[[#This Row],[OrderDate]],"dddd")</f>
        <v>Thursday</v>
      </c>
      <c r="AK49">
        <f>WEEKDAY(SalesTable[[#This Row],[OrderDate]])</f>
        <v>5</v>
      </c>
      <c r="AL49" s="3">
        <f t="shared" si="5"/>
        <v>0.4375</v>
      </c>
      <c r="AM49">
        <f>HOUR(SalesTable[[#This Row],[time ]])</f>
        <v>10</v>
      </c>
      <c r="AN49">
        <f>MINUTE(SalesTable[[#This Row],[time ]])</f>
        <v>30</v>
      </c>
    </row>
    <row r="50" spans="1:40" x14ac:dyDescent="0.35">
      <c r="A50">
        <v>1049</v>
      </c>
      <c r="B50" t="s">
        <v>83</v>
      </c>
      <c r="C50" t="s">
        <v>16</v>
      </c>
      <c r="D50" t="s">
        <v>17</v>
      </c>
      <c r="E50" t="s">
        <v>26</v>
      </c>
      <c r="F50" t="s">
        <v>33</v>
      </c>
      <c r="G50" t="s">
        <v>52</v>
      </c>
      <c r="H50">
        <v>3</v>
      </c>
      <c r="I50">
        <v>20000</v>
      </c>
      <c r="J50">
        <v>0</v>
      </c>
      <c r="K50">
        <v>60000</v>
      </c>
      <c r="L50">
        <v>45000</v>
      </c>
      <c r="M50">
        <v>15000</v>
      </c>
      <c r="N50" t="s">
        <v>39</v>
      </c>
      <c r="O50" t="s">
        <v>40</v>
      </c>
      <c r="P50" t="str">
        <f>IF(SalesTable[[#This Row],[SalesAmount]]&gt;400000,"high sales","low sales")</f>
        <v>low sales</v>
      </c>
      <c r="Q50" t="b">
        <f>AND(SalesTable[[#This Row],[SalesAmount]]&gt;300000,SalesTable[[#This Row],[PaymentMode]]="Cash")</f>
        <v>0</v>
      </c>
      <c r="R50" t="b">
        <f>OR(SalesTable[[#This Row],[SalesAmount]]&gt;300000,SalesTable[[#This Row],[PaymentMode]]="Cash")</f>
        <v>0</v>
      </c>
      <c r="S50" t="b">
        <f>NOT(SalesTable[[#This Row],[SalesAmount]]&gt;500)</f>
        <v>0</v>
      </c>
      <c r="T50">
        <f>IFERROR(SalesTable[[#This Row],[Profit]]/SalesTable[[#This Row],[SalesAmount]],"no sales")</f>
        <v>0.25</v>
      </c>
      <c r="U50" t="str">
        <f>UPPER(SalesTable[[#This Row],[Salesperson]])</f>
        <v>PRIYA</v>
      </c>
      <c r="V50" t="str">
        <f>LOWER(SalesTable[[#This Row],[Salesperson]])</f>
        <v>priya</v>
      </c>
      <c r="W50" t="str">
        <f>LEFT(SalesTable[[#This Row],[uppercase ]],2)</f>
        <v>PR</v>
      </c>
      <c r="X50" t="str">
        <f>RIGHT(SalesTable[[#This Row],[uppercase ]],3)</f>
        <v>IYA</v>
      </c>
      <c r="Y50" t="str">
        <f>MID(SalesTable[[#This Row],[uppercase ]],2,2)</f>
        <v>RI</v>
      </c>
      <c r="Z50" t="str">
        <f>_xlfn.CONCAT(SalesTable[[#This Row],[left fn ]],SalesTable[[#This Row],[right]])</f>
        <v>PRIYA</v>
      </c>
      <c r="AA50">
        <f>LEN(SalesTable[[#This Row],[uppercase ]])</f>
        <v>5</v>
      </c>
      <c r="AB50" t="str">
        <f>TRIM(SalesTable[[#This Row],[Segment]])</f>
        <v>Consumer</v>
      </c>
      <c r="AC50" t="str">
        <f>_xlfn.TEXTJOIN("-",TRUE,SalesTable[[#This Row],[lowercase]],SalesTable[[#This Row],[middle]])</f>
        <v>priya-RI</v>
      </c>
      <c r="AD50">
        <f>FIND(SalesTable[[#This Row],[middle]],SalesTable[[#This Row],[concatenate ]],1)</f>
        <v>2</v>
      </c>
      <c r="AE50" s="1">
        <f t="shared" ca="1" si="3"/>
        <v>46087</v>
      </c>
      <c r="AF50" s="2">
        <f t="shared" ca="1" si="4"/>
        <v>46087.6708125</v>
      </c>
      <c r="AG50">
        <f>DAY(SalesTable[[#This Row],[OrderDate]])</f>
        <v>16</v>
      </c>
      <c r="AH50">
        <f>MONTH(SalesTable[[#This Row],[OrderDate]])</f>
        <v>2</v>
      </c>
      <c r="AI50">
        <f>YEAR(SalesTable[[#This Row],[OrderDate]])</f>
        <v>2025</v>
      </c>
      <c r="AJ50" t="str">
        <f>TEXT(SalesTable[[#This Row],[OrderDate]],"dddd")</f>
        <v>Sunday</v>
      </c>
      <c r="AK50">
        <f>WEEKDAY(SalesTable[[#This Row],[OrderDate]])</f>
        <v>1</v>
      </c>
      <c r="AL50" s="3">
        <f t="shared" si="5"/>
        <v>0.4375</v>
      </c>
      <c r="AM50">
        <f>HOUR(SalesTable[[#This Row],[time ]])</f>
        <v>10</v>
      </c>
      <c r="AN50">
        <f>MINUTE(SalesTable[[#This Row],[time ]])</f>
        <v>30</v>
      </c>
    </row>
    <row r="51" spans="1:40" x14ac:dyDescent="0.35">
      <c r="A51">
        <v>1050</v>
      </c>
      <c r="B51" t="s">
        <v>76</v>
      </c>
      <c r="C51" t="s">
        <v>35</v>
      </c>
      <c r="D51" t="s">
        <v>54</v>
      </c>
      <c r="E51" t="s">
        <v>26</v>
      </c>
      <c r="F51" t="s">
        <v>33</v>
      </c>
      <c r="G51" t="s">
        <v>28</v>
      </c>
      <c r="H51">
        <v>11</v>
      </c>
      <c r="I51">
        <v>20000</v>
      </c>
      <c r="J51">
        <v>0.02</v>
      </c>
      <c r="K51">
        <v>215600</v>
      </c>
      <c r="L51">
        <v>165000</v>
      </c>
      <c r="M51">
        <v>50600</v>
      </c>
      <c r="N51" t="s">
        <v>39</v>
      </c>
      <c r="O51" t="s">
        <v>30</v>
      </c>
      <c r="P51" t="str">
        <f>IF(SalesTable[[#This Row],[SalesAmount]]&gt;400000,"high sales","low sales")</f>
        <v>low sales</v>
      </c>
      <c r="Q51" t="b">
        <f>AND(SalesTable[[#This Row],[SalesAmount]]&gt;300000,SalesTable[[#This Row],[PaymentMode]]="Cash")</f>
        <v>0</v>
      </c>
      <c r="R51" t="b">
        <f>OR(SalesTable[[#This Row],[SalesAmount]]&gt;300000,SalesTable[[#This Row],[PaymentMode]]="Cash")</f>
        <v>0</v>
      </c>
      <c r="S51" t="b">
        <f>NOT(SalesTable[[#This Row],[SalesAmount]]&gt;500)</f>
        <v>0</v>
      </c>
      <c r="T51">
        <f>IFERROR(SalesTable[[#This Row],[Profit]]/SalesTable[[#This Row],[SalesAmount]],"no sales")</f>
        <v>0.23469387755102042</v>
      </c>
      <c r="U51" t="str">
        <f>UPPER(SalesTable[[#This Row],[Salesperson]])</f>
        <v>RAHUL</v>
      </c>
      <c r="V51" t="str">
        <f>LOWER(SalesTable[[#This Row],[Salesperson]])</f>
        <v>rahul</v>
      </c>
      <c r="W51" t="str">
        <f>LEFT(SalesTable[[#This Row],[uppercase ]],2)</f>
        <v>RA</v>
      </c>
      <c r="X51" t="str">
        <f>RIGHT(SalesTable[[#This Row],[uppercase ]],3)</f>
        <v>HUL</v>
      </c>
      <c r="Y51" t="str">
        <f>MID(SalesTable[[#This Row],[uppercase ]],2,2)</f>
        <v>AH</v>
      </c>
      <c r="Z51" t="str">
        <f>_xlfn.CONCAT(SalesTable[[#This Row],[left fn ]],SalesTable[[#This Row],[right]])</f>
        <v>RAHUL</v>
      </c>
      <c r="AA51">
        <f>LEN(SalesTable[[#This Row],[uppercase ]])</f>
        <v>5</v>
      </c>
      <c r="AB51" t="str">
        <f>TRIM(SalesTable[[#This Row],[Segment]])</f>
        <v>Home Office</v>
      </c>
      <c r="AC51" t="str">
        <f>_xlfn.TEXTJOIN("-",TRUE,SalesTable[[#This Row],[lowercase]],SalesTable[[#This Row],[middle]])</f>
        <v>rahul-AH</v>
      </c>
      <c r="AD51">
        <f>FIND(SalesTable[[#This Row],[middle]],SalesTable[[#This Row],[concatenate ]],1)</f>
        <v>2</v>
      </c>
      <c r="AE51" s="1">
        <f t="shared" ca="1" si="3"/>
        <v>46087</v>
      </c>
      <c r="AF51" s="2">
        <f t="shared" ca="1" si="4"/>
        <v>46087.6708125</v>
      </c>
      <c r="AG51">
        <f>DAY(SalesTable[[#This Row],[OrderDate]])</f>
        <v>26</v>
      </c>
      <c r="AH51">
        <f>MONTH(SalesTable[[#This Row],[OrderDate]])</f>
        <v>1</v>
      </c>
      <c r="AI51">
        <f>YEAR(SalesTable[[#This Row],[OrderDate]])</f>
        <v>2025</v>
      </c>
      <c r="AJ51" t="str">
        <f>TEXT(SalesTable[[#This Row],[OrderDate]],"dddd")</f>
        <v>Sunday</v>
      </c>
      <c r="AK51">
        <f>WEEKDAY(SalesTable[[#This Row],[OrderDate]])</f>
        <v>1</v>
      </c>
      <c r="AL51" s="3">
        <f t="shared" si="5"/>
        <v>0.4375</v>
      </c>
      <c r="AM51">
        <f>HOUR(SalesTable[[#This Row],[time ]])</f>
        <v>10</v>
      </c>
      <c r="AN51">
        <f>MINUTE(SalesTable[[#This Row],[time ]])</f>
        <v>30</v>
      </c>
    </row>
    <row r="52" spans="1:40" x14ac:dyDescent="0.35">
      <c r="A52">
        <v>1051</v>
      </c>
      <c r="B52" t="s">
        <v>84</v>
      </c>
      <c r="C52" t="s">
        <v>32</v>
      </c>
      <c r="D52" t="s">
        <v>17</v>
      </c>
      <c r="E52" t="s">
        <v>18</v>
      </c>
      <c r="F52" t="s">
        <v>19</v>
      </c>
      <c r="G52" t="s">
        <v>20</v>
      </c>
      <c r="H52">
        <v>9</v>
      </c>
      <c r="I52">
        <v>3000</v>
      </c>
      <c r="J52">
        <v>0.05</v>
      </c>
      <c r="K52">
        <v>25650</v>
      </c>
      <c r="L52">
        <v>18000</v>
      </c>
      <c r="M52">
        <v>7650</v>
      </c>
      <c r="N52" t="s">
        <v>21</v>
      </c>
      <c r="O52" t="s">
        <v>22</v>
      </c>
      <c r="P52" t="str">
        <f>IF(SalesTable[[#This Row],[SalesAmount]]&gt;400000,"high sales","low sales")</f>
        <v>low sales</v>
      </c>
      <c r="Q52" t="b">
        <f>AND(SalesTable[[#This Row],[SalesAmount]]&gt;300000,SalesTable[[#This Row],[PaymentMode]]="Cash")</f>
        <v>0</v>
      </c>
      <c r="R52" t="b">
        <f>OR(SalesTable[[#This Row],[SalesAmount]]&gt;300000,SalesTable[[#This Row],[PaymentMode]]="Cash")</f>
        <v>0</v>
      </c>
      <c r="S52" t="b">
        <f>NOT(SalesTable[[#This Row],[SalesAmount]]&gt;500)</f>
        <v>0</v>
      </c>
      <c r="T52">
        <f>IFERROR(SalesTable[[#This Row],[Profit]]/SalesTable[[#This Row],[SalesAmount]],"no sales")</f>
        <v>0.2982456140350877</v>
      </c>
      <c r="U52" t="str">
        <f>UPPER(SalesTable[[#This Row],[Salesperson]])</f>
        <v>PRIYA</v>
      </c>
      <c r="V52" t="str">
        <f>LOWER(SalesTable[[#This Row],[Salesperson]])</f>
        <v>priya</v>
      </c>
      <c r="W52" t="str">
        <f>LEFT(SalesTable[[#This Row],[uppercase ]],2)</f>
        <v>PR</v>
      </c>
      <c r="X52" t="str">
        <f>RIGHT(SalesTable[[#This Row],[uppercase ]],3)</f>
        <v>IYA</v>
      </c>
      <c r="Y52" t="str">
        <f>MID(SalesTable[[#This Row],[uppercase ]],2,2)</f>
        <v>RI</v>
      </c>
      <c r="Z52" t="str">
        <f>_xlfn.CONCAT(SalesTable[[#This Row],[left fn ]],SalesTable[[#This Row],[right]])</f>
        <v>PRIYA</v>
      </c>
      <c r="AA52">
        <f>LEN(SalesTable[[#This Row],[uppercase ]])</f>
        <v>5</v>
      </c>
      <c r="AB52" t="str">
        <f>TRIM(SalesTable[[#This Row],[Segment]])</f>
        <v>Corporate</v>
      </c>
      <c r="AC52" t="str">
        <f>_xlfn.TEXTJOIN("-",TRUE,SalesTable[[#This Row],[lowercase]],SalesTable[[#This Row],[middle]])</f>
        <v>priya-RI</v>
      </c>
      <c r="AD52">
        <f>FIND(SalesTable[[#This Row],[middle]],SalesTable[[#This Row],[concatenate ]],1)</f>
        <v>2</v>
      </c>
      <c r="AE52" s="1">
        <f t="shared" ca="1" si="3"/>
        <v>46087</v>
      </c>
      <c r="AF52" s="2">
        <f t="shared" ca="1" si="4"/>
        <v>46087.6708125</v>
      </c>
      <c r="AG52">
        <f>DAY(SalesTable[[#This Row],[OrderDate]])</f>
        <v>5</v>
      </c>
      <c r="AH52">
        <f>MONTH(SalesTable[[#This Row],[OrderDate]])</f>
        <v>2</v>
      </c>
      <c r="AI52">
        <f>YEAR(SalesTable[[#This Row],[OrderDate]])</f>
        <v>2025</v>
      </c>
      <c r="AJ52" t="str">
        <f>TEXT(SalesTable[[#This Row],[OrderDate]],"dddd")</f>
        <v>Wednesday</v>
      </c>
      <c r="AK52">
        <f>WEEKDAY(SalesTable[[#This Row],[OrderDate]])</f>
        <v>4</v>
      </c>
      <c r="AL52" s="3">
        <f t="shared" si="5"/>
        <v>0.4375</v>
      </c>
      <c r="AM52">
        <f>HOUR(SalesTable[[#This Row],[time ]])</f>
        <v>10</v>
      </c>
      <c r="AN52">
        <f>MINUTE(SalesTable[[#This Row],[time ]])</f>
        <v>30</v>
      </c>
    </row>
    <row r="53" spans="1:40" x14ac:dyDescent="0.35">
      <c r="A53">
        <v>1052</v>
      </c>
      <c r="B53" t="s">
        <v>85</v>
      </c>
      <c r="C53" t="s">
        <v>16</v>
      </c>
      <c r="D53" t="s">
        <v>42</v>
      </c>
      <c r="E53" t="s">
        <v>18</v>
      </c>
      <c r="F53" t="s">
        <v>19</v>
      </c>
      <c r="G53" t="s">
        <v>20</v>
      </c>
      <c r="H53">
        <v>5</v>
      </c>
      <c r="I53">
        <v>3000</v>
      </c>
      <c r="J53">
        <v>0.05</v>
      </c>
      <c r="K53">
        <v>14250</v>
      </c>
      <c r="L53">
        <v>10000</v>
      </c>
      <c r="M53">
        <v>4250</v>
      </c>
      <c r="N53" t="s">
        <v>39</v>
      </c>
      <c r="O53" t="s">
        <v>22</v>
      </c>
      <c r="P53" t="str">
        <f>IF(SalesTable[[#This Row],[SalesAmount]]&gt;400000,"high sales","low sales")</f>
        <v>low sales</v>
      </c>
      <c r="Q53" t="b">
        <f>AND(SalesTable[[#This Row],[SalesAmount]]&gt;300000,SalesTable[[#This Row],[PaymentMode]]="Cash")</f>
        <v>0</v>
      </c>
      <c r="R53" t="b">
        <f>OR(SalesTable[[#This Row],[SalesAmount]]&gt;300000,SalesTable[[#This Row],[PaymentMode]]="Cash")</f>
        <v>0</v>
      </c>
      <c r="S53" t="b">
        <f>NOT(SalesTable[[#This Row],[SalesAmount]]&gt;500)</f>
        <v>0</v>
      </c>
      <c r="T53">
        <f>IFERROR(SalesTable[[#This Row],[Profit]]/SalesTable[[#This Row],[SalesAmount]],"no sales")</f>
        <v>0.2982456140350877</v>
      </c>
      <c r="U53" t="str">
        <f>UPPER(SalesTable[[#This Row],[Salesperson]])</f>
        <v>SNEHA</v>
      </c>
      <c r="V53" t="str">
        <f>LOWER(SalesTable[[#This Row],[Salesperson]])</f>
        <v>sneha</v>
      </c>
      <c r="W53" t="str">
        <f>LEFT(SalesTable[[#This Row],[uppercase ]],2)</f>
        <v>SN</v>
      </c>
      <c r="X53" t="str">
        <f>RIGHT(SalesTable[[#This Row],[uppercase ]],3)</f>
        <v>EHA</v>
      </c>
      <c r="Y53" t="str">
        <f>MID(SalesTable[[#This Row],[uppercase ]],2,2)</f>
        <v>NE</v>
      </c>
      <c r="Z53" t="str">
        <f>_xlfn.CONCAT(SalesTable[[#This Row],[left fn ]],SalesTable[[#This Row],[right]])</f>
        <v>SNEHA</v>
      </c>
      <c r="AA53">
        <f>LEN(SalesTable[[#This Row],[uppercase ]])</f>
        <v>5</v>
      </c>
      <c r="AB53" t="str">
        <f>TRIM(SalesTable[[#This Row],[Segment]])</f>
        <v>Corporate</v>
      </c>
      <c r="AC53" t="str">
        <f>_xlfn.TEXTJOIN("-",TRUE,SalesTable[[#This Row],[lowercase]],SalesTable[[#This Row],[middle]])</f>
        <v>sneha-NE</v>
      </c>
      <c r="AD53">
        <f>FIND(SalesTable[[#This Row],[middle]],SalesTable[[#This Row],[concatenate ]],1)</f>
        <v>2</v>
      </c>
      <c r="AE53" s="1">
        <f t="shared" ca="1" si="3"/>
        <v>46087</v>
      </c>
      <c r="AF53" s="2">
        <f t="shared" ca="1" si="4"/>
        <v>46087.6708125</v>
      </c>
      <c r="AG53">
        <f>DAY(SalesTable[[#This Row],[OrderDate]])</f>
        <v>20</v>
      </c>
      <c r="AH53">
        <f>MONTH(SalesTable[[#This Row],[OrderDate]])</f>
        <v>2</v>
      </c>
      <c r="AI53">
        <f>YEAR(SalesTable[[#This Row],[OrderDate]])</f>
        <v>2025</v>
      </c>
      <c r="AJ53" t="str">
        <f>TEXT(SalesTable[[#This Row],[OrderDate]],"dddd")</f>
        <v>Thursday</v>
      </c>
      <c r="AK53">
        <f>WEEKDAY(SalesTable[[#This Row],[OrderDate]])</f>
        <v>5</v>
      </c>
      <c r="AL53" s="3">
        <f t="shared" si="5"/>
        <v>0.4375</v>
      </c>
      <c r="AM53">
        <f>HOUR(SalesTable[[#This Row],[time ]])</f>
        <v>10</v>
      </c>
      <c r="AN53">
        <f>MINUTE(SalesTable[[#This Row],[time ]])</f>
        <v>30</v>
      </c>
    </row>
    <row r="54" spans="1:40" x14ac:dyDescent="0.35">
      <c r="A54">
        <v>1053</v>
      </c>
      <c r="B54" t="s">
        <v>15</v>
      </c>
      <c r="C54" t="s">
        <v>16</v>
      </c>
      <c r="D54" t="s">
        <v>42</v>
      </c>
      <c r="E54" t="s">
        <v>46</v>
      </c>
      <c r="F54" t="s">
        <v>49</v>
      </c>
      <c r="G54" t="s">
        <v>20</v>
      </c>
      <c r="H54">
        <v>4</v>
      </c>
      <c r="I54">
        <v>500</v>
      </c>
      <c r="J54">
        <v>0.15</v>
      </c>
      <c r="K54">
        <v>1700</v>
      </c>
      <c r="L54">
        <v>1400</v>
      </c>
      <c r="M54">
        <v>300</v>
      </c>
      <c r="N54" t="s">
        <v>44</v>
      </c>
      <c r="O54" t="s">
        <v>40</v>
      </c>
      <c r="P54" t="str">
        <f>IF(SalesTable[[#This Row],[SalesAmount]]&gt;400000,"high sales","low sales")</f>
        <v>low sales</v>
      </c>
      <c r="Q54" t="b">
        <f>AND(SalesTable[[#This Row],[SalesAmount]]&gt;300000,SalesTable[[#This Row],[PaymentMode]]="Cash")</f>
        <v>0</v>
      </c>
      <c r="R54" t="b">
        <f>OR(SalesTable[[#This Row],[SalesAmount]]&gt;300000,SalesTable[[#This Row],[PaymentMode]]="Cash")</f>
        <v>0</v>
      </c>
      <c r="S54" t="b">
        <f>NOT(SalesTable[[#This Row],[SalesAmount]]&gt;500)</f>
        <v>0</v>
      </c>
      <c r="T54">
        <f>IFERROR(SalesTable[[#This Row],[Profit]]/SalesTable[[#This Row],[SalesAmount]],"no sales")</f>
        <v>0.17647058823529413</v>
      </c>
      <c r="U54" t="str">
        <f>UPPER(SalesTable[[#This Row],[Salesperson]])</f>
        <v>SNEHA</v>
      </c>
      <c r="V54" t="str">
        <f>LOWER(SalesTable[[#This Row],[Salesperson]])</f>
        <v>sneha</v>
      </c>
      <c r="W54" t="str">
        <f>LEFT(SalesTable[[#This Row],[uppercase ]],2)</f>
        <v>SN</v>
      </c>
      <c r="X54" t="str">
        <f>RIGHT(SalesTable[[#This Row],[uppercase ]],3)</f>
        <v>EHA</v>
      </c>
      <c r="Y54" t="str">
        <f>MID(SalesTable[[#This Row],[uppercase ]],2,2)</f>
        <v>NE</v>
      </c>
      <c r="Z54" t="str">
        <f>_xlfn.CONCAT(SalesTable[[#This Row],[left fn ]],SalesTable[[#This Row],[right]])</f>
        <v>SNEHA</v>
      </c>
      <c r="AA54">
        <f>LEN(SalesTable[[#This Row],[uppercase ]])</f>
        <v>5</v>
      </c>
      <c r="AB54" t="str">
        <f>TRIM(SalesTable[[#This Row],[Segment]])</f>
        <v>Corporate</v>
      </c>
      <c r="AC54" t="str">
        <f>_xlfn.TEXTJOIN("-",TRUE,SalesTable[[#This Row],[lowercase]],SalesTable[[#This Row],[middle]])</f>
        <v>sneha-NE</v>
      </c>
      <c r="AD54">
        <f>FIND(SalesTable[[#This Row],[middle]],SalesTable[[#This Row],[concatenate ]],1)</f>
        <v>2</v>
      </c>
      <c r="AE54" s="1">
        <f t="shared" ca="1" si="3"/>
        <v>46087</v>
      </c>
      <c r="AF54" s="2">
        <f t="shared" ca="1" si="4"/>
        <v>46087.6708125</v>
      </c>
      <c r="AG54">
        <f>DAY(SalesTable[[#This Row],[OrderDate]])</f>
        <v>13</v>
      </c>
      <c r="AH54">
        <f>MONTH(SalesTable[[#This Row],[OrderDate]])</f>
        <v>2</v>
      </c>
      <c r="AI54">
        <f>YEAR(SalesTable[[#This Row],[OrderDate]])</f>
        <v>2025</v>
      </c>
      <c r="AJ54" t="str">
        <f>TEXT(SalesTable[[#This Row],[OrderDate]],"dddd")</f>
        <v>Thursday</v>
      </c>
      <c r="AK54">
        <f>WEEKDAY(SalesTable[[#This Row],[OrderDate]])</f>
        <v>5</v>
      </c>
      <c r="AL54" s="3">
        <f t="shared" si="5"/>
        <v>0.4375</v>
      </c>
      <c r="AM54">
        <f>HOUR(SalesTable[[#This Row],[time ]])</f>
        <v>10</v>
      </c>
      <c r="AN54">
        <f>MINUTE(SalesTable[[#This Row],[time ]])</f>
        <v>30</v>
      </c>
    </row>
    <row r="55" spans="1:40" x14ac:dyDescent="0.35">
      <c r="A55">
        <v>1054</v>
      </c>
      <c r="B55" t="s">
        <v>60</v>
      </c>
      <c r="C55" t="s">
        <v>24</v>
      </c>
      <c r="D55" t="s">
        <v>42</v>
      </c>
      <c r="E55" t="s">
        <v>46</v>
      </c>
      <c r="F55" t="s">
        <v>47</v>
      </c>
      <c r="G55" t="s">
        <v>20</v>
      </c>
      <c r="H55">
        <v>17</v>
      </c>
      <c r="I55">
        <v>100</v>
      </c>
      <c r="J55">
        <v>0.1</v>
      </c>
      <c r="K55">
        <v>1530</v>
      </c>
      <c r="L55">
        <v>850</v>
      </c>
      <c r="M55">
        <v>680</v>
      </c>
      <c r="N55" t="s">
        <v>39</v>
      </c>
      <c r="O55" t="s">
        <v>30</v>
      </c>
      <c r="P55" t="str">
        <f>IF(SalesTable[[#This Row],[SalesAmount]]&gt;400000,"high sales","low sales")</f>
        <v>low sales</v>
      </c>
      <c r="Q55" t="b">
        <f>AND(SalesTable[[#This Row],[SalesAmount]]&gt;300000,SalesTable[[#This Row],[PaymentMode]]="Cash")</f>
        <v>0</v>
      </c>
      <c r="R55" t="b">
        <f>OR(SalesTable[[#This Row],[SalesAmount]]&gt;300000,SalesTable[[#This Row],[PaymentMode]]="Cash")</f>
        <v>0</v>
      </c>
      <c r="S55" t="b">
        <f>NOT(SalesTable[[#This Row],[SalesAmount]]&gt;500)</f>
        <v>0</v>
      </c>
      <c r="T55">
        <f>IFERROR(SalesTable[[#This Row],[Profit]]/SalesTable[[#This Row],[SalesAmount]],"no sales")</f>
        <v>0.44444444444444442</v>
      </c>
      <c r="U55" t="str">
        <f>UPPER(SalesTable[[#This Row],[Salesperson]])</f>
        <v>SNEHA</v>
      </c>
      <c r="V55" t="str">
        <f>LOWER(SalesTable[[#This Row],[Salesperson]])</f>
        <v>sneha</v>
      </c>
      <c r="W55" t="str">
        <f>LEFT(SalesTable[[#This Row],[uppercase ]],2)</f>
        <v>SN</v>
      </c>
      <c r="X55" t="str">
        <f>RIGHT(SalesTable[[#This Row],[uppercase ]],3)</f>
        <v>EHA</v>
      </c>
      <c r="Y55" t="str">
        <f>MID(SalesTable[[#This Row],[uppercase ]],2,2)</f>
        <v>NE</v>
      </c>
      <c r="Z55" t="str">
        <f>_xlfn.CONCAT(SalesTable[[#This Row],[left fn ]],SalesTable[[#This Row],[right]])</f>
        <v>SNEHA</v>
      </c>
      <c r="AA55">
        <f>LEN(SalesTable[[#This Row],[uppercase ]])</f>
        <v>5</v>
      </c>
      <c r="AB55" t="str">
        <f>TRIM(SalesTable[[#This Row],[Segment]])</f>
        <v>Corporate</v>
      </c>
      <c r="AC55" t="str">
        <f>_xlfn.TEXTJOIN("-",TRUE,SalesTable[[#This Row],[lowercase]],SalesTable[[#This Row],[middle]])</f>
        <v>sneha-NE</v>
      </c>
      <c r="AD55">
        <f>FIND(SalesTable[[#This Row],[middle]],SalesTable[[#This Row],[concatenate ]],1)</f>
        <v>2</v>
      </c>
      <c r="AE55" s="1">
        <f t="shared" ca="1" si="3"/>
        <v>46087</v>
      </c>
      <c r="AF55" s="2">
        <f t="shared" ca="1" si="4"/>
        <v>46087.6708125</v>
      </c>
      <c r="AG55">
        <f>DAY(SalesTable[[#This Row],[OrderDate]])</f>
        <v>5</v>
      </c>
      <c r="AH55">
        <f>MONTH(SalesTable[[#This Row],[OrderDate]])</f>
        <v>1</v>
      </c>
      <c r="AI55">
        <f>YEAR(SalesTable[[#This Row],[OrderDate]])</f>
        <v>2025</v>
      </c>
      <c r="AJ55" t="str">
        <f>TEXT(SalesTable[[#This Row],[OrderDate]],"dddd")</f>
        <v>Sunday</v>
      </c>
      <c r="AK55">
        <f>WEEKDAY(SalesTable[[#This Row],[OrderDate]])</f>
        <v>1</v>
      </c>
      <c r="AL55" s="3">
        <f t="shared" si="5"/>
        <v>0.4375</v>
      </c>
      <c r="AM55">
        <f>HOUR(SalesTable[[#This Row],[time ]])</f>
        <v>10</v>
      </c>
      <c r="AN55">
        <f>MINUTE(SalesTable[[#This Row],[time ]])</f>
        <v>30</v>
      </c>
    </row>
    <row r="56" spans="1:40" x14ac:dyDescent="0.35">
      <c r="A56">
        <v>1055</v>
      </c>
      <c r="B56" t="s">
        <v>73</v>
      </c>
      <c r="C56" t="s">
        <v>32</v>
      </c>
      <c r="D56" t="s">
        <v>54</v>
      </c>
      <c r="E56" t="s">
        <v>18</v>
      </c>
      <c r="F56" t="s">
        <v>36</v>
      </c>
      <c r="G56" t="s">
        <v>52</v>
      </c>
      <c r="H56">
        <v>8</v>
      </c>
      <c r="I56">
        <v>25000</v>
      </c>
      <c r="J56">
        <v>0.05</v>
      </c>
      <c r="K56">
        <v>190000</v>
      </c>
      <c r="L56">
        <v>144000</v>
      </c>
      <c r="M56">
        <v>46000</v>
      </c>
      <c r="N56" t="s">
        <v>29</v>
      </c>
      <c r="O56" t="s">
        <v>30</v>
      </c>
      <c r="P56" t="str">
        <f>IF(SalesTable[[#This Row],[SalesAmount]]&gt;400000,"high sales","low sales")</f>
        <v>low sales</v>
      </c>
      <c r="Q56" t="b">
        <f>AND(SalesTable[[#This Row],[SalesAmount]]&gt;300000,SalesTable[[#This Row],[PaymentMode]]="Cash")</f>
        <v>0</v>
      </c>
      <c r="R56" t="b">
        <f>OR(SalesTable[[#This Row],[SalesAmount]]&gt;300000,SalesTable[[#This Row],[PaymentMode]]="Cash")</f>
        <v>1</v>
      </c>
      <c r="S56" t="b">
        <f>NOT(SalesTable[[#This Row],[SalesAmount]]&gt;500)</f>
        <v>0</v>
      </c>
      <c r="T56">
        <f>IFERROR(SalesTable[[#This Row],[Profit]]/SalesTable[[#This Row],[SalesAmount]],"no sales")</f>
        <v>0.24210526315789474</v>
      </c>
      <c r="U56" t="str">
        <f>UPPER(SalesTable[[#This Row],[Salesperson]])</f>
        <v>RAHUL</v>
      </c>
      <c r="V56" t="str">
        <f>LOWER(SalesTable[[#This Row],[Salesperson]])</f>
        <v>rahul</v>
      </c>
      <c r="W56" t="str">
        <f>LEFT(SalesTable[[#This Row],[uppercase ]],2)</f>
        <v>RA</v>
      </c>
      <c r="X56" t="str">
        <f>RIGHT(SalesTable[[#This Row],[uppercase ]],3)</f>
        <v>HUL</v>
      </c>
      <c r="Y56" t="str">
        <f>MID(SalesTable[[#This Row],[uppercase ]],2,2)</f>
        <v>AH</v>
      </c>
      <c r="Z56" t="str">
        <f>_xlfn.CONCAT(SalesTable[[#This Row],[left fn ]],SalesTable[[#This Row],[right]])</f>
        <v>RAHUL</v>
      </c>
      <c r="AA56">
        <f>LEN(SalesTable[[#This Row],[uppercase ]])</f>
        <v>5</v>
      </c>
      <c r="AB56" t="str">
        <f>TRIM(SalesTable[[#This Row],[Segment]])</f>
        <v>Consumer</v>
      </c>
      <c r="AC56" t="str">
        <f>_xlfn.TEXTJOIN("-",TRUE,SalesTable[[#This Row],[lowercase]],SalesTable[[#This Row],[middle]])</f>
        <v>rahul-AH</v>
      </c>
      <c r="AD56">
        <f>FIND(SalesTable[[#This Row],[middle]],SalesTable[[#This Row],[concatenate ]],1)</f>
        <v>2</v>
      </c>
      <c r="AE56" s="1">
        <f t="shared" ca="1" si="3"/>
        <v>46087</v>
      </c>
      <c r="AF56" s="2">
        <f t="shared" ca="1" si="4"/>
        <v>46087.6708125</v>
      </c>
      <c r="AG56">
        <f>DAY(SalesTable[[#This Row],[OrderDate]])</f>
        <v>15</v>
      </c>
      <c r="AH56">
        <f>MONTH(SalesTable[[#This Row],[OrderDate]])</f>
        <v>2</v>
      </c>
      <c r="AI56">
        <f>YEAR(SalesTable[[#This Row],[OrderDate]])</f>
        <v>2025</v>
      </c>
      <c r="AJ56" t="str">
        <f>TEXT(SalesTable[[#This Row],[OrderDate]],"dddd")</f>
        <v>Saturday</v>
      </c>
      <c r="AK56">
        <f>WEEKDAY(SalesTable[[#This Row],[OrderDate]])</f>
        <v>7</v>
      </c>
      <c r="AL56" s="3">
        <f t="shared" si="5"/>
        <v>0.4375</v>
      </c>
      <c r="AM56">
        <f>HOUR(SalesTable[[#This Row],[time ]])</f>
        <v>10</v>
      </c>
      <c r="AN56">
        <f>MINUTE(SalesTable[[#This Row],[time ]])</f>
        <v>30</v>
      </c>
    </row>
    <row r="57" spans="1:40" x14ac:dyDescent="0.35">
      <c r="A57">
        <v>1056</v>
      </c>
      <c r="B57" t="s">
        <v>83</v>
      </c>
      <c r="C57" t="s">
        <v>32</v>
      </c>
      <c r="D57" t="s">
        <v>54</v>
      </c>
      <c r="E57" t="s">
        <v>46</v>
      </c>
      <c r="F57" t="s">
        <v>49</v>
      </c>
      <c r="G57" t="s">
        <v>52</v>
      </c>
      <c r="H57">
        <v>14</v>
      </c>
      <c r="I57">
        <v>500</v>
      </c>
      <c r="J57">
        <v>0.02</v>
      </c>
      <c r="K57">
        <v>6860</v>
      </c>
      <c r="L57">
        <v>4900</v>
      </c>
      <c r="M57">
        <v>1960</v>
      </c>
      <c r="N57" t="s">
        <v>21</v>
      </c>
      <c r="O57" t="s">
        <v>40</v>
      </c>
      <c r="P57" t="str">
        <f>IF(SalesTable[[#This Row],[SalesAmount]]&gt;400000,"high sales","low sales")</f>
        <v>low sales</v>
      </c>
      <c r="Q57" t="b">
        <f>AND(SalesTable[[#This Row],[SalesAmount]]&gt;300000,SalesTable[[#This Row],[PaymentMode]]="Cash")</f>
        <v>0</v>
      </c>
      <c r="R57" t="b">
        <f>OR(SalesTable[[#This Row],[SalesAmount]]&gt;300000,SalesTable[[#This Row],[PaymentMode]]="Cash")</f>
        <v>0</v>
      </c>
      <c r="S57" t="b">
        <f>NOT(SalesTable[[#This Row],[SalesAmount]]&gt;500)</f>
        <v>0</v>
      </c>
      <c r="T57">
        <f>IFERROR(SalesTable[[#This Row],[Profit]]/SalesTable[[#This Row],[SalesAmount]],"no sales")</f>
        <v>0.2857142857142857</v>
      </c>
      <c r="U57" t="str">
        <f>UPPER(SalesTable[[#This Row],[Salesperson]])</f>
        <v>RAHUL</v>
      </c>
      <c r="V57" t="str">
        <f>LOWER(SalesTable[[#This Row],[Salesperson]])</f>
        <v>rahul</v>
      </c>
      <c r="W57" t="str">
        <f>LEFT(SalesTable[[#This Row],[uppercase ]],2)</f>
        <v>RA</v>
      </c>
      <c r="X57" t="str">
        <f>RIGHT(SalesTable[[#This Row],[uppercase ]],3)</f>
        <v>HUL</v>
      </c>
      <c r="Y57" t="str">
        <f>MID(SalesTable[[#This Row],[uppercase ]],2,2)</f>
        <v>AH</v>
      </c>
      <c r="Z57" t="str">
        <f>_xlfn.CONCAT(SalesTable[[#This Row],[left fn ]],SalesTable[[#This Row],[right]])</f>
        <v>RAHUL</v>
      </c>
      <c r="AA57">
        <f>LEN(SalesTable[[#This Row],[uppercase ]])</f>
        <v>5</v>
      </c>
      <c r="AB57" t="str">
        <f>TRIM(SalesTable[[#This Row],[Segment]])</f>
        <v>Consumer</v>
      </c>
      <c r="AC57" t="str">
        <f>_xlfn.TEXTJOIN("-",TRUE,SalesTable[[#This Row],[lowercase]],SalesTable[[#This Row],[middle]])</f>
        <v>rahul-AH</v>
      </c>
      <c r="AD57">
        <f>FIND(SalesTable[[#This Row],[middle]],SalesTable[[#This Row],[concatenate ]],1)</f>
        <v>2</v>
      </c>
      <c r="AE57" s="1">
        <f t="shared" ca="1" si="3"/>
        <v>46087</v>
      </c>
      <c r="AF57" s="2">
        <f t="shared" ca="1" si="4"/>
        <v>46087.6708125</v>
      </c>
      <c r="AG57">
        <f>DAY(SalesTable[[#This Row],[OrderDate]])</f>
        <v>16</v>
      </c>
      <c r="AH57">
        <f>MONTH(SalesTable[[#This Row],[OrderDate]])</f>
        <v>2</v>
      </c>
      <c r="AI57">
        <f>YEAR(SalesTable[[#This Row],[OrderDate]])</f>
        <v>2025</v>
      </c>
      <c r="AJ57" t="str">
        <f>TEXT(SalesTable[[#This Row],[OrderDate]],"dddd")</f>
        <v>Sunday</v>
      </c>
      <c r="AK57">
        <f>WEEKDAY(SalesTable[[#This Row],[OrderDate]])</f>
        <v>1</v>
      </c>
      <c r="AL57" s="3">
        <f t="shared" si="5"/>
        <v>0.4375</v>
      </c>
      <c r="AM57">
        <f>HOUR(SalesTable[[#This Row],[time ]])</f>
        <v>10</v>
      </c>
      <c r="AN57">
        <f>MINUTE(SalesTable[[#This Row],[time ]])</f>
        <v>30</v>
      </c>
    </row>
    <row r="58" spans="1:40" x14ac:dyDescent="0.35">
      <c r="A58">
        <v>1057</v>
      </c>
      <c r="B58" t="s">
        <v>86</v>
      </c>
      <c r="C58" t="s">
        <v>32</v>
      </c>
      <c r="D58" t="s">
        <v>54</v>
      </c>
      <c r="E58" t="s">
        <v>26</v>
      </c>
      <c r="F58" t="s">
        <v>33</v>
      </c>
      <c r="G58" t="s">
        <v>52</v>
      </c>
      <c r="H58">
        <v>7</v>
      </c>
      <c r="I58">
        <v>20000</v>
      </c>
      <c r="J58">
        <v>0</v>
      </c>
      <c r="K58">
        <v>140000</v>
      </c>
      <c r="L58">
        <v>105000</v>
      </c>
      <c r="M58">
        <v>35000</v>
      </c>
      <c r="N58" t="s">
        <v>29</v>
      </c>
      <c r="O58" t="s">
        <v>40</v>
      </c>
      <c r="P58" t="str">
        <f>IF(SalesTable[[#This Row],[SalesAmount]]&gt;400000,"high sales","low sales")</f>
        <v>low sales</v>
      </c>
      <c r="Q58" t="b">
        <f>AND(SalesTable[[#This Row],[SalesAmount]]&gt;300000,SalesTable[[#This Row],[PaymentMode]]="Cash")</f>
        <v>0</v>
      </c>
      <c r="R58" t="b">
        <f>OR(SalesTable[[#This Row],[SalesAmount]]&gt;300000,SalesTable[[#This Row],[PaymentMode]]="Cash")</f>
        <v>1</v>
      </c>
      <c r="S58" t="b">
        <f>NOT(SalesTable[[#This Row],[SalesAmount]]&gt;500)</f>
        <v>0</v>
      </c>
      <c r="T58">
        <f>IFERROR(SalesTable[[#This Row],[Profit]]/SalesTable[[#This Row],[SalesAmount]],"no sales")</f>
        <v>0.25</v>
      </c>
      <c r="U58" t="str">
        <f>UPPER(SalesTable[[#This Row],[Salesperson]])</f>
        <v>RAHUL</v>
      </c>
      <c r="V58" t="str">
        <f>LOWER(SalesTable[[#This Row],[Salesperson]])</f>
        <v>rahul</v>
      </c>
      <c r="W58" t="str">
        <f>LEFT(SalesTable[[#This Row],[uppercase ]],2)</f>
        <v>RA</v>
      </c>
      <c r="X58" t="str">
        <f>RIGHT(SalesTable[[#This Row],[uppercase ]],3)</f>
        <v>HUL</v>
      </c>
      <c r="Y58" t="str">
        <f>MID(SalesTable[[#This Row],[uppercase ]],2,2)</f>
        <v>AH</v>
      </c>
      <c r="Z58" t="str">
        <f>_xlfn.CONCAT(SalesTable[[#This Row],[left fn ]],SalesTable[[#This Row],[right]])</f>
        <v>RAHUL</v>
      </c>
      <c r="AA58">
        <f>LEN(SalesTable[[#This Row],[uppercase ]])</f>
        <v>5</v>
      </c>
      <c r="AB58" t="str">
        <f>TRIM(SalesTable[[#This Row],[Segment]])</f>
        <v>Consumer</v>
      </c>
      <c r="AC58" t="str">
        <f>_xlfn.TEXTJOIN("-",TRUE,SalesTable[[#This Row],[lowercase]],SalesTable[[#This Row],[middle]])</f>
        <v>rahul-AH</v>
      </c>
      <c r="AD58">
        <f>FIND(SalesTable[[#This Row],[middle]],SalesTable[[#This Row],[concatenate ]],1)</f>
        <v>2</v>
      </c>
      <c r="AE58" s="1">
        <f t="shared" ca="1" si="3"/>
        <v>46087</v>
      </c>
      <c r="AF58" s="2">
        <f t="shared" ca="1" si="4"/>
        <v>46087.6708125</v>
      </c>
      <c r="AG58">
        <f>DAY(SalesTable[[#This Row],[OrderDate]])</f>
        <v>2</v>
      </c>
      <c r="AH58">
        <f>MONTH(SalesTable[[#This Row],[OrderDate]])</f>
        <v>3</v>
      </c>
      <c r="AI58">
        <f>YEAR(SalesTable[[#This Row],[OrderDate]])</f>
        <v>2025</v>
      </c>
      <c r="AJ58" t="str">
        <f>TEXT(SalesTable[[#This Row],[OrderDate]],"dddd")</f>
        <v>Sunday</v>
      </c>
      <c r="AK58">
        <f>WEEKDAY(SalesTable[[#This Row],[OrderDate]])</f>
        <v>1</v>
      </c>
      <c r="AL58" s="3">
        <f t="shared" si="5"/>
        <v>0.4375</v>
      </c>
      <c r="AM58">
        <f>HOUR(SalesTable[[#This Row],[time ]])</f>
        <v>10</v>
      </c>
      <c r="AN58">
        <f>MINUTE(SalesTable[[#This Row],[time ]])</f>
        <v>30</v>
      </c>
    </row>
    <row r="59" spans="1:40" x14ac:dyDescent="0.35">
      <c r="A59">
        <v>1058</v>
      </c>
      <c r="B59" t="s">
        <v>31</v>
      </c>
      <c r="C59" t="s">
        <v>35</v>
      </c>
      <c r="D59" t="s">
        <v>42</v>
      </c>
      <c r="E59" t="s">
        <v>26</v>
      </c>
      <c r="F59" t="s">
        <v>59</v>
      </c>
      <c r="G59" t="s">
        <v>52</v>
      </c>
      <c r="H59">
        <v>5</v>
      </c>
      <c r="I59">
        <v>2000</v>
      </c>
      <c r="J59">
        <v>0.1</v>
      </c>
      <c r="K59">
        <v>9000</v>
      </c>
      <c r="L59">
        <v>7500</v>
      </c>
      <c r="M59">
        <v>1500</v>
      </c>
      <c r="N59" t="s">
        <v>29</v>
      </c>
      <c r="O59" t="s">
        <v>30</v>
      </c>
      <c r="P59" t="str">
        <f>IF(SalesTable[[#This Row],[SalesAmount]]&gt;400000,"high sales","low sales")</f>
        <v>low sales</v>
      </c>
      <c r="Q59" t="b">
        <f>AND(SalesTable[[#This Row],[SalesAmount]]&gt;300000,SalesTable[[#This Row],[PaymentMode]]="Cash")</f>
        <v>0</v>
      </c>
      <c r="R59" t="b">
        <f>OR(SalesTable[[#This Row],[SalesAmount]]&gt;300000,SalesTable[[#This Row],[PaymentMode]]="Cash")</f>
        <v>1</v>
      </c>
      <c r="S59" t="b">
        <f>NOT(SalesTable[[#This Row],[SalesAmount]]&gt;500)</f>
        <v>0</v>
      </c>
      <c r="T59">
        <f>IFERROR(SalesTable[[#This Row],[Profit]]/SalesTable[[#This Row],[SalesAmount]],"no sales")</f>
        <v>0.16666666666666666</v>
      </c>
      <c r="U59" t="str">
        <f>UPPER(SalesTable[[#This Row],[Salesperson]])</f>
        <v>SNEHA</v>
      </c>
      <c r="V59" t="str">
        <f>LOWER(SalesTable[[#This Row],[Salesperson]])</f>
        <v>sneha</v>
      </c>
      <c r="W59" t="str">
        <f>LEFT(SalesTable[[#This Row],[uppercase ]],2)</f>
        <v>SN</v>
      </c>
      <c r="X59" t="str">
        <f>RIGHT(SalesTable[[#This Row],[uppercase ]],3)</f>
        <v>EHA</v>
      </c>
      <c r="Y59" t="str">
        <f>MID(SalesTable[[#This Row],[uppercase ]],2,2)</f>
        <v>NE</v>
      </c>
      <c r="Z59" t="str">
        <f>_xlfn.CONCAT(SalesTable[[#This Row],[left fn ]],SalesTable[[#This Row],[right]])</f>
        <v>SNEHA</v>
      </c>
      <c r="AA59">
        <f>LEN(SalesTable[[#This Row],[uppercase ]])</f>
        <v>5</v>
      </c>
      <c r="AB59" t="str">
        <f>TRIM(SalesTable[[#This Row],[Segment]])</f>
        <v>Consumer</v>
      </c>
      <c r="AC59" t="str">
        <f>_xlfn.TEXTJOIN("-",TRUE,SalesTable[[#This Row],[lowercase]],SalesTable[[#This Row],[middle]])</f>
        <v>sneha-NE</v>
      </c>
      <c r="AD59">
        <f>FIND(SalesTable[[#This Row],[middle]],SalesTable[[#This Row],[concatenate ]],1)</f>
        <v>2</v>
      </c>
      <c r="AE59" s="1">
        <f t="shared" ca="1" si="3"/>
        <v>46087</v>
      </c>
      <c r="AF59" s="2">
        <f t="shared" ca="1" si="4"/>
        <v>46087.6708125</v>
      </c>
      <c r="AG59">
        <f>DAY(SalesTable[[#This Row],[OrderDate]])</f>
        <v>23</v>
      </c>
      <c r="AH59">
        <f>MONTH(SalesTable[[#This Row],[OrderDate]])</f>
        <v>2</v>
      </c>
      <c r="AI59">
        <f>YEAR(SalesTable[[#This Row],[OrderDate]])</f>
        <v>2025</v>
      </c>
      <c r="AJ59" t="str">
        <f>TEXT(SalesTable[[#This Row],[OrderDate]],"dddd")</f>
        <v>Sunday</v>
      </c>
      <c r="AK59">
        <f>WEEKDAY(SalesTable[[#This Row],[OrderDate]])</f>
        <v>1</v>
      </c>
      <c r="AL59" s="3">
        <f t="shared" si="5"/>
        <v>0.4375</v>
      </c>
      <c r="AM59">
        <f>HOUR(SalesTable[[#This Row],[time ]])</f>
        <v>10</v>
      </c>
      <c r="AN59">
        <f>MINUTE(SalesTable[[#This Row],[time ]])</f>
        <v>30</v>
      </c>
    </row>
    <row r="60" spans="1:40" x14ac:dyDescent="0.35">
      <c r="A60">
        <v>1059</v>
      </c>
      <c r="B60" t="s">
        <v>74</v>
      </c>
      <c r="C60" t="s">
        <v>35</v>
      </c>
      <c r="D60" t="s">
        <v>17</v>
      </c>
      <c r="E60" t="s">
        <v>46</v>
      </c>
      <c r="F60" t="s">
        <v>47</v>
      </c>
      <c r="G60" t="s">
        <v>20</v>
      </c>
      <c r="H60">
        <v>15</v>
      </c>
      <c r="I60">
        <v>100</v>
      </c>
      <c r="J60">
        <v>0.08</v>
      </c>
      <c r="K60">
        <v>1380</v>
      </c>
      <c r="L60">
        <v>750</v>
      </c>
      <c r="M60">
        <v>630</v>
      </c>
      <c r="N60" t="s">
        <v>21</v>
      </c>
      <c r="O60" t="s">
        <v>40</v>
      </c>
      <c r="P60" t="str">
        <f>IF(SalesTable[[#This Row],[SalesAmount]]&gt;400000,"high sales","low sales")</f>
        <v>low sales</v>
      </c>
      <c r="Q60" t="b">
        <f>AND(SalesTable[[#This Row],[SalesAmount]]&gt;300000,SalesTable[[#This Row],[PaymentMode]]="Cash")</f>
        <v>0</v>
      </c>
      <c r="R60" t="b">
        <f>OR(SalesTable[[#This Row],[SalesAmount]]&gt;300000,SalesTable[[#This Row],[PaymentMode]]="Cash")</f>
        <v>0</v>
      </c>
      <c r="S60" t="b">
        <f>NOT(SalesTable[[#This Row],[SalesAmount]]&gt;500)</f>
        <v>0</v>
      </c>
      <c r="T60">
        <f>IFERROR(SalesTable[[#This Row],[Profit]]/SalesTable[[#This Row],[SalesAmount]],"no sales")</f>
        <v>0.45652173913043476</v>
      </c>
      <c r="U60" t="str">
        <f>UPPER(SalesTable[[#This Row],[Salesperson]])</f>
        <v>PRIYA</v>
      </c>
      <c r="V60" t="str">
        <f>LOWER(SalesTable[[#This Row],[Salesperson]])</f>
        <v>priya</v>
      </c>
      <c r="W60" t="str">
        <f>LEFT(SalesTable[[#This Row],[uppercase ]],2)</f>
        <v>PR</v>
      </c>
      <c r="X60" t="str">
        <f>RIGHT(SalesTable[[#This Row],[uppercase ]],3)</f>
        <v>IYA</v>
      </c>
      <c r="Y60" t="str">
        <f>MID(SalesTable[[#This Row],[uppercase ]],2,2)</f>
        <v>RI</v>
      </c>
      <c r="Z60" t="str">
        <f>_xlfn.CONCAT(SalesTable[[#This Row],[left fn ]],SalesTable[[#This Row],[right]])</f>
        <v>PRIYA</v>
      </c>
      <c r="AA60">
        <f>LEN(SalesTable[[#This Row],[uppercase ]])</f>
        <v>5</v>
      </c>
      <c r="AB60" t="str">
        <f>TRIM(SalesTable[[#This Row],[Segment]])</f>
        <v>Corporate</v>
      </c>
      <c r="AC60" t="str">
        <f>_xlfn.TEXTJOIN("-",TRUE,SalesTable[[#This Row],[lowercase]],SalesTable[[#This Row],[middle]])</f>
        <v>priya-RI</v>
      </c>
      <c r="AD60">
        <f>FIND(SalesTable[[#This Row],[middle]],SalesTable[[#This Row],[concatenate ]],1)</f>
        <v>2</v>
      </c>
      <c r="AE60" s="1">
        <f t="shared" ca="1" si="3"/>
        <v>46087</v>
      </c>
      <c r="AF60" s="2">
        <f t="shared" ca="1" si="4"/>
        <v>46087.6708125</v>
      </c>
      <c r="AG60">
        <f>DAY(SalesTable[[#This Row],[OrderDate]])</f>
        <v>27</v>
      </c>
      <c r="AH60">
        <f>MONTH(SalesTable[[#This Row],[OrderDate]])</f>
        <v>1</v>
      </c>
      <c r="AI60">
        <f>YEAR(SalesTable[[#This Row],[OrderDate]])</f>
        <v>2025</v>
      </c>
      <c r="AJ60" t="str">
        <f>TEXT(SalesTable[[#This Row],[OrderDate]],"dddd")</f>
        <v>Monday</v>
      </c>
      <c r="AK60">
        <f>WEEKDAY(SalesTable[[#This Row],[OrderDate]])</f>
        <v>2</v>
      </c>
      <c r="AL60" s="3">
        <f t="shared" si="5"/>
        <v>0.4375</v>
      </c>
      <c r="AM60">
        <f>HOUR(SalesTable[[#This Row],[time ]])</f>
        <v>10</v>
      </c>
      <c r="AN60">
        <f>MINUTE(SalesTable[[#This Row],[time ]])</f>
        <v>30</v>
      </c>
    </row>
    <row r="61" spans="1:40" x14ac:dyDescent="0.35">
      <c r="A61">
        <v>1060</v>
      </c>
      <c r="B61" t="s">
        <v>77</v>
      </c>
      <c r="C61" t="s">
        <v>16</v>
      </c>
      <c r="D61" t="s">
        <v>54</v>
      </c>
      <c r="E61" t="s">
        <v>18</v>
      </c>
      <c r="F61" t="s">
        <v>43</v>
      </c>
      <c r="G61" t="s">
        <v>20</v>
      </c>
      <c r="H61">
        <v>5</v>
      </c>
      <c r="I61">
        <v>12000</v>
      </c>
      <c r="J61">
        <v>0.02</v>
      </c>
      <c r="K61">
        <v>58800</v>
      </c>
      <c r="L61">
        <v>40000</v>
      </c>
      <c r="M61">
        <v>18800</v>
      </c>
      <c r="N61" t="s">
        <v>21</v>
      </c>
      <c r="O61" t="s">
        <v>30</v>
      </c>
      <c r="P61" t="str">
        <f>IF(SalesTable[[#This Row],[SalesAmount]]&gt;400000,"high sales","low sales")</f>
        <v>low sales</v>
      </c>
      <c r="Q61" t="b">
        <f>AND(SalesTable[[#This Row],[SalesAmount]]&gt;300000,SalesTable[[#This Row],[PaymentMode]]="Cash")</f>
        <v>0</v>
      </c>
      <c r="R61" t="b">
        <f>OR(SalesTable[[#This Row],[SalesAmount]]&gt;300000,SalesTable[[#This Row],[PaymentMode]]="Cash")</f>
        <v>0</v>
      </c>
      <c r="S61" t="b">
        <f>NOT(SalesTable[[#This Row],[SalesAmount]]&gt;500)</f>
        <v>0</v>
      </c>
      <c r="T61">
        <f>IFERROR(SalesTable[[#This Row],[Profit]]/SalesTable[[#This Row],[SalesAmount]],"no sales")</f>
        <v>0.31972789115646261</v>
      </c>
      <c r="U61" t="str">
        <f>UPPER(SalesTable[[#This Row],[Salesperson]])</f>
        <v>RAHUL</v>
      </c>
      <c r="V61" t="str">
        <f>LOWER(SalesTable[[#This Row],[Salesperson]])</f>
        <v>rahul</v>
      </c>
      <c r="W61" t="str">
        <f>LEFT(SalesTable[[#This Row],[uppercase ]],2)</f>
        <v>RA</v>
      </c>
      <c r="X61" t="str">
        <f>RIGHT(SalesTable[[#This Row],[uppercase ]],3)</f>
        <v>HUL</v>
      </c>
      <c r="Y61" t="str">
        <f>MID(SalesTable[[#This Row],[uppercase ]],2,2)</f>
        <v>AH</v>
      </c>
      <c r="Z61" t="str">
        <f>_xlfn.CONCAT(SalesTable[[#This Row],[left fn ]],SalesTable[[#This Row],[right]])</f>
        <v>RAHUL</v>
      </c>
      <c r="AA61">
        <f>LEN(SalesTable[[#This Row],[uppercase ]])</f>
        <v>5</v>
      </c>
      <c r="AB61" t="str">
        <f>TRIM(SalesTable[[#This Row],[Segment]])</f>
        <v>Corporate</v>
      </c>
      <c r="AC61" t="str">
        <f>_xlfn.TEXTJOIN("-",TRUE,SalesTable[[#This Row],[lowercase]],SalesTable[[#This Row],[middle]])</f>
        <v>rahul-AH</v>
      </c>
      <c r="AD61">
        <f>FIND(SalesTable[[#This Row],[middle]],SalesTable[[#This Row],[concatenate ]],1)</f>
        <v>2</v>
      </c>
      <c r="AE61" s="1">
        <f t="shared" ca="1" si="3"/>
        <v>46087</v>
      </c>
      <c r="AF61" s="2">
        <f t="shared" ca="1" si="4"/>
        <v>46087.6708125</v>
      </c>
      <c r="AG61">
        <f>DAY(SalesTable[[#This Row],[OrderDate]])</f>
        <v>11</v>
      </c>
      <c r="AH61">
        <f>MONTH(SalesTable[[#This Row],[OrderDate]])</f>
        <v>1</v>
      </c>
      <c r="AI61">
        <f>YEAR(SalesTable[[#This Row],[OrderDate]])</f>
        <v>2025</v>
      </c>
      <c r="AJ61" t="str">
        <f>TEXT(SalesTable[[#This Row],[OrderDate]],"dddd")</f>
        <v>Saturday</v>
      </c>
      <c r="AK61">
        <f>WEEKDAY(SalesTable[[#This Row],[OrderDate]])</f>
        <v>7</v>
      </c>
      <c r="AL61" s="3">
        <f t="shared" si="5"/>
        <v>0.4375</v>
      </c>
      <c r="AM61">
        <f>HOUR(SalesTable[[#This Row],[time ]])</f>
        <v>10</v>
      </c>
      <c r="AN61">
        <f>MINUTE(SalesTable[[#This Row],[time ]])</f>
        <v>30</v>
      </c>
    </row>
    <row r="62" spans="1:40" x14ac:dyDescent="0.35">
      <c r="A62">
        <v>1061</v>
      </c>
      <c r="B62" t="s">
        <v>65</v>
      </c>
      <c r="C62" t="s">
        <v>16</v>
      </c>
      <c r="D62" t="s">
        <v>17</v>
      </c>
      <c r="E62" t="s">
        <v>18</v>
      </c>
      <c r="F62" t="s">
        <v>19</v>
      </c>
      <c r="G62" t="s">
        <v>28</v>
      </c>
      <c r="H62">
        <v>20</v>
      </c>
      <c r="I62">
        <v>3000</v>
      </c>
      <c r="J62">
        <v>0.02</v>
      </c>
      <c r="K62">
        <v>58800</v>
      </c>
      <c r="L62">
        <v>40000</v>
      </c>
      <c r="M62">
        <v>18800</v>
      </c>
      <c r="N62" t="s">
        <v>21</v>
      </c>
      <c r="O62" t="s">
        <v>40</v>
      </c>
      <c r="P62" t="str">
        <f>IF(SalesTable[[#This Row],[SalesAmount]]&gt;400000,"high sales","low sales")</f>
        <v>low sales</v>
      </c>
      <c r="Q62" t="b">
        <f>AND(SalesTable[[#This Row],[SalesAmount]]&gt;300000,SalesTable[[#This Row],[PaymentMode]]="Cash")</f>
        <v>0</v>
      </c>
      <c r="R62" t="b">
        <f>OR(SalesTable[[#This Row],[SalesAmount]]&gt;300000,SalesTable[[#This Row],[PaymentMode]]="Cash")</f>
        <v>0</v>
      </c>
      <c r="S62" t="b">
        <f>NOT(SalesTable[[#This Row],[SalesAmount]]&gt;500)</f>
        <v>0</v>
      </c>
      <c r="T62">
        <f>IFERROR(SalesTable[[#This Row],[Profit]]/SalesTable[[#This Row],[SalesAmount]],"no sales")</f>
        <v>0.31972789115646261</v>
      </c>
      <c r="U62" t="str">
        <f>UPPER(SalesTable[[#This Row],[Salesperson]])</f>
        <v>PRIYA</v>
      </c>
      <c r="V62" t="str">
        <f>LOWER(SalesTable[[#This Row],[Salesperson]])</f>
        <v>priya</v>
      </c>
      <c r="W62" t="str">
        <f>LEFT(SalesTable[[#This Row],[uppercase ]],2)</f>
        <v>PR</v>
      </c>
      <c r="X62" t="str">
        <f>RIGHT(SalesTable[[#This Row],[uppercase ]],3)</f>
        <v>IYA</v>
      </c>
      <c r="Y62" t="str">
        <f>MID(SalesTable[[#This Row],[uppercase ]],2,2)</f>
        <v>RI</v>
      </c>
      <c r="Z62" t="str">
        <f>_xlfn.CONCAT(SalesTable[[#This Row],[left fn ]],SalesTable[[#This Row],[right]])</f>
        <v>PRIYA</v>
      </c>
      <c r="AA62">
        <f>LEN(SalesTable[[#This Row],[uppercase ]])</f>
        <v>5</v>
      </c>
      <c r="AB62" t="str">
        <f>TRIM(SalesTable[[#This Row],[Segment]])</f>
        <v>Home Office</v>
      </c>
      <c r="AC62" t="str">
        <f>_xlfn.TEXTJOIN("-",TRUE,SalesTable[[#This Row],[lowercase]],SalesTable[[#This Row],[middle]])</f>
        <v>priya-RI</v>
      </c>
      <c r="AD62">
        <f>FIND(SalesTable[[#This Row],[middle]],SalesTable[[#This Row],[concatenate ]],1)</f>
        <v>2</v>
      </c>
      <c r="AE62" s="1">
        <f t="shared" ca="1" si="3"/>
        <v>46087</v>
      </c>
      <c r="AF62" s="2">
        <f t="shared" ca="1" si="4"/>
        <v>46087.6708125</v>
      </c>
      <c r="AG62">
        <f>DAY(SalesTable[[#This Row],[OrderDate]])</f>
        <v>16</v>
      </c>
      <c r="AH62">
        <f>MONTH(SalesTable[[#This Row],[OrderDate]])</f>
        <v>1</v>
      </c>
      <c r="AI62">
        <f>YEAR(SalesTable[[#This Row],[OrderDate]])</f>
        <v>2025</v>
      </c>
      <c r="AJ62" t="str">
        <f>TEXT(SalesTable[[#This Row],[OrderDate]],"dddd")</f>
        <v>Thursday</v>
      </c>
      <c r="AK62">
        <f>WEEKDAY(SalesTable[[#This Row],[OrderDate]])</f>
        <v>5</v>
      </c>
      <c r="AL62" s="3">
        <f t="shared" si="5"/>
        <v>0.4375</v>
      </c>
      <c r="AM62">
        <f>HOUR(SalesTable[[#This Row],[time ]])</f>
        <v>10</v>
      </c>
      <c r="AN62">
        <f>MINUTE(SalesTable[[#This Row],[time ]])</f>
        <v>30</v>
      </c>
    </row>
    <row r="63" spans="1:40" x14ac:dyDescent="0.35">
      <c r="A63">
        <v>1062</v>
      </c>
      <c r="B63" t="s">
        <v>81</v>
      </c>
      <c r="C63" t="s">
        <v>32</v>
      </c>
      <c r="D63" t="s">
        <v>17</v>
      </c>
      <c r="E63" t="s">
        <v>18</v>
      </c>
      <c r="F63" t="s">
        <v>19</v>
      </c>
      <c r="G63" t="s">
        <v>20</v>
      </c>
      <c r="H63">
        <v>18</v>
      </c>
      <c r="I63">
        <v>3000</v>
      </c>
      <c r="J63">
        <v>0</v>
      </c>
      <c r="K63">
        <v>54000</v>
      </c>
      <c r="L63">
        <v>36000</v>
      </c>
      <c r="M63">
        <v>18000</v>
      </c>
      <c r="N63" t="s">
        <v>44</v>
      </c>
      <c r="O63" t="s">
        <v>22</v>
      </c>
      <c r="P63" t="str">
        <f>IF(SalesTable[[#This Row],[SalesAmount]]&gt;400000,"high sales","low sales")</f>
        <v>low sales</v>
      </c>
      <c r="Q63" t="b">
        <f>AND(SalesTable[[#This Row],[SalesAmount]]&gt;300000,SalesTable[[#This Row],[PaymentMode]]="Cash")</f>
        <v>0</v>
      </c>
      <c r="R63" t="b">
        <f>OR(SalesTable[[#This Row],[SalesAmount]]&gt;300000,SalesTable[[#This Row],[PaymentMode]]="Cash")</f>
        <v>0</v>
      </c>
      <c r="S63" t="b">
        <f>NOT(SalesTable[[#This Row],[SalesAmount]]&gt;500)</f>
        <v>0</v>
      </c>
      <c r="T63">
        <f>IFERROR(SalesTable[[#This Row],[Profit]]/SalesTable[[#This Row],[SalesAmount]],"no sales")</f>
        <v>0.33333333333333331</v>
      </c>
      <c r="U63" t="str">
        <f>UPPER(SalesTable[[#This Row],[Salesperson]])</f>
        <v>PRIYA</v>
      </c>
      <c r="V63" t="str">
        <f>LOWER(SalesTable[[#This Row],[Salesperson]])</f>
        <v>priya</v>
      </c>
      <c r="W63" t="str">
        <f>LEFT(SalesTable[[#This Row],[uppercase ]],2)</f>
        <v>PR</v>
      </c>
      <c r="X63" t="str">
        <f>RIGHT(SalesTable[[#This Row],[uppercase ]],3)</f>
        <v>IYA</v>
      </c>
      <c r="Y63" t="str">
        <f>MID(SalesTable[[#This Row],[uppercase ]],2,2)</f>
        <v>RI</v>
      </c>
      <c r="Z63" t="str">
        <f>_xlfn.CONCAT(SalesTable[[#This Row],[left fn ]],SalesTable[[#This Row],[right]])</f>
        <v>PRIYA</v>
      </c>
      <c r="AA63">
        <f>LEN(SalesTable[[#This Row],[uppercase ]])</f>
        <v>5</v>
      </c>
      <c r="AB63" t="str">
        <f>TRIM(SalesTable[[#This Row],[Segment]])</f>
        <v>Corporate</v>
      </c>
      <c r="AC63" t="str">
        <f>_xlfn.TEXTJOIN("-",TRUE,SalesTable[[#This Row],[lowercase]],SalesTable[[#This Row],[middle]])</f>
        <v>priya-RI</v>
      </c>
      <c r="AD63">
        <f>FIND(SalesTable[[#This Row],[middle]],SalesTable[[#This Row],[concatenate ]],1)</f>
        <v>2</v>
      </c>
      <c r="AE63" s="1">
        <f t="shared" ca="1" si="3"/>
        <v>46087</v>
      </c>
      <c r="AF63" s="2">
        <f t="shared" ca="1" si="4"/>
        <v>46087.6708125</v>
      </c>
      <c r="AG63">
        <f>DAY(SalesTable[[#This Row],[OrderDate]])</f>
        <v>29</v>
      </c>
      <c r="AH63">
        <f>MONTH(SalesTable[[#This Row],[OrderDate]])</f>
        <v>1</v>
      </c>
      <c r="AI63">
        <f>YEAR(SalesTable[[#This Row],[OrderDate]])</f>
        <v>2025</v>
      </c>
      <c r="AJ63" t="str">
        <f>TEXT(SalesTable[[#This Row],[OrderDate]],"dddd")</f>
        <v>Wednesday</v>
      </c>
      <c r="AK63">
        <f>WEEKDAY(SalesTable[[#This Row],[OrderDate]])</f>
        <v>4</v>
      </c>
      <c r="AL63" s="3">
        <f t="shared" si="5"/>
        <v>0.4375</v>
      </c>
      <c r="AM63">
        <f>HOUR(SalesTable[[#This Row],[time ]])</f>
        <v>10</v>
      </c>
      <c r="AN63">
        <f>MINUTE(SalesTable[[#This Row],[time ]])</f>
        <v>30</v>
      </c>
    </row>
    <row r="64" spans="1:40" x14ac:dyDescent="0.35">
      <c r="A64">
        <v>1063</v>
      </c>
      <c r="B64" t="s">
        <v>80</v>
      </c>
      <c r="C64" t="s">
        <v>35</v>
      </c>
      <c r="D64" t="s">
        <v>54</v>
      </c>
      <c r="E64" t="s">
        <v>18</v>
      </c>
      <c r="F64" t="s">
        <v>38</v>
      </c>
      <c r="G64" t="s">
        <v>20</v>
      </c>
      <c r="H64">
        <v>3</v>
      </c>
      <c r="I64">
        <v>35000</v>
      </c>
      <c r="J64">
        <v>0.05</v>
      </c>
      <c r="K64">
        <v>99750</v>
      </c>
      <c r="L64">
        <v>75000</v>
      </c>
      <c r="M64">
        <v>24750</v>
      </c>
      <c r="N64" t="s">
        <v>29</v>
      </c>
      <c r="O64" t="s">
        <v>30</v>
      </c>
      <c r="P64" t="str">
        <f>IF(SalesTable[[#This Row],[SalesAmount]]&gt;400000,"high sales","low sales")</f>
        <v>low sales</v>
      </c>
      <c r="Q64" t="b">
        <f>AND(SalesTable[[#This Row],[SalesAmount]]&gt;300000,SalesTable[[#This Row],[PaymentMode]]="Cash")</f>
        <v>0</v>
      </c>
      <c r="R64" t="b">
        <f>OR(SalesTable[[#This Row],[SalesAmount]]&gt;300000,SalesTable[[#This Row],[PaymentMode]]="Cash")</f>
        <v>1</v>
      </c>
      <c r="S64" t="b">
        <f>NOT(SalesTable[[#This Row],[SalesAmount]]&gt;500)</f>
        <v>0</v>
      </c>
      <c r="T64">
        <f>IFERROR(SalesTable[[#This Row],[Profit]]/SalesTable[[#This Row],[SalesAmount]],"no sales")</f>
        <v>0.24812030075187969</v>
      </c>
      <c r="U64" t="str">
        <f>UPPER(SalesTable[[#This Row],[Salesperson]])</f>
        <v>RAHUL</v>
      </c>
      <c r="V64" t="str">
        <f>LOWER(SalesTable[[#This Row],[Salesperson]])</f>
        <v>rahul</v>
      </c>
      <c r="W64" t="str">
        <f>LEFT(SalesTable[[#This Row],[uppercase ]],2)</f>
        <v>RA</v>
      </c>
      <c r="X64" t="str">
        <f>RIGHT(SalesTable[[#This Row],[uppercase ]],3)</f>
        <v>HUL</v>
      </c>
      <c r="Y64" t="str">
        <f>MID(SalesTable[[#This Row],[uppercase ]],2,2)</f>
        <v>AH</v>
      </c>
      <c r="Z64" t="str">
        <f>_xlfn.CONCAT(SalesTable[[#This Row],[left fn ]],SalesTable[[#This Row],[right]])</f>
        <v>RAHUL</v>
      </c>
      <c r="AA64">
        <f>LEN(SalesTable[[#This Row],[uppercase ]])</f>
        <v>5</v>
      </c>
      <c r="AB64" t="str">
        <f>TRIM(SalesTable[[#This Row],[Segment]])</f>
        <v>Corporate</v>
      </c>
      <c r="AC64" t="str">
        <f>_xlfn.TEXTJOIN("-",TRUE,SalesTable[[#This Row],[lowercase]],SalesTable[[#This Row],[middle]])</f>
        <v>rahul-AH</v>
      </c>
      <c r="AD64">
        <f>FIND(SalesTable[[#This Row],[middle]],SalesTable[[#This Row],[concatenate ]],1)</f>
        <v>2</v>
      </c>
      <c r="AE64" s="1">
        <f t="shared" ca="1" si="3"/>
        <v>46087</v>
      </c>
      <c r="AF64" s="2">
        <f t="shared" ca="1" si="4"/>
        <v>46087.6708125</v>
      </c>
      <c r="AG64">
        <f>DAY(SalesTable[[#This Row],[OrderDate]])</f>
        <v>7</v>
      </c>
      <c r="AH64">
        <f>MONTH(SalesTable[[#This Row],[OrderDate]])</f>
        <v>1</v>
      </c>
      <c r="AI64">
        <f>YEAR(SalesTable[[#This Row],[OrderDate]])</f>
        <v>2025</v>
      </c>
      <c r="AJ64" t="str">
        <f>TEXT(SalesTable[[#This Row],[OrderDate]],"dddd")</f>
        <v>Tuesday</v>
      </c>
      <c r="AK64">
        <f>WEEKDAY(SalesTable[[#This Row],[OrderDate]])</f>
        <v>3</v>
      </c>
      <c r="AL64" s="3">
        <f t="shared" si="5"/>
        <v>0.4375</v>
      </c>
      <c r="AM64">
        <f>HOUR(SalesTable[[#This Row],[time ]])</f>
        <v>10</v>
      </c>
      <c r="AN64">
        <f>MINUTE(SalesTable[[#This Row],[time ]])</f>
        <v>30</v>
      </c>
    </row>
    <row r="65" spans="1:40" x14ac:dyDescent="0.35">
      <c r="A65">
        <v>1064</v>
      </c>
      <c r="B65" t="s">
        <v>58</v>
      </c>
      <c r="C65" t="s">
        <v>16</v>
      </c>
      <c r="D65" t="s">
        <v>25</v>
      </c>
      <c r="E65" t="s">
        <v>46</v>
      </c>
      <c r="F65" t="s">
        <v>49</v>
      </c>
      <c r="G65" t="s">
        <v>28</v>
      </c>
      <c r="H65">
        <v>19</v>
      </c>
      <c r="I65">
        <v>500</v>
      </c>
      <c r="J65">
        <v>0.02</v>
      </c>
      <c r="K65">
        <v>9310</v>
      </c>
      <c r="L65">
        <v>6650</v>
      </c>
      <c r="M65">
        <v>2660</v>
      </c>
      <c r="N65" t="s">
        <v>44</v>
      </c>
      <c r="O65" t="s">
        <v>40</v>
      </c>
      <c r="P65" t="str">
        <f>IF(SalesTable[[#This Row],[SalesAmount]]&gt;400000,"high sales","low sales")</f>
        <v>low sales</v>
      </c>
      <c r="Q65" t="b">
        <f>AND(SalesTable[[#This Row],[SalesAmount]]&gt;300000,SalesTable[[#This Row],[PaymentMode]]="Cash")</f>
        <v>0</v>
      </c>
      <c r="R65" t="b">
        <f>OR(SalesTable[[#This Row],[SalesAmount]]&gt;300000,SalesTable[[#This Row],[PaymentMode]]="Cash")</f>
        <v>0</v>
      </c>
      <c r="S65" t="b">
        <f>NOT(SalesTable[[#This Row],[SalesAmount]]&gt;500)</f>
        <v>0</v>
      </c>
      <c r="T65">
        <f>IFERROR(SalesTable[[#This Row],[Profit]]/SalesTable[[#This Row],[SalesAmount]],"no sales")</f>
        <v>0.2857142857142857</v>
      </c>
      <c r="U65" t="str">
        <f>UPPER(SalesTable[[#This Row],[Salesperson]])</f>
        <v>AMIT</v>
      </c>
      <c r="V65" t="str">
        <f>LOWER(SalesTable[[#This Row],[Salesperson]])</f>
        <v>amit</v>
      </c>
      <c r="W65" t="str">
        <f>LEFT(SalesTable[[#This Row],[uppercase ]],2)</f>
        <v>AM</v>
      </c>
      <c r="X65" t="str">
        <f>RIGHT(SalesTable[[#This Row],[uppercase ]],3)</f>
        <v>MIT</v>
      </c>
      <c r="Y65" t="str">
        <f>MID(SalesTable[[#This Row],[uppercase ]],2,2)</f>
        <v>MI</v>
      </c>
      <c r="Z65" t="str">
        <f>_xlfn.CONCAT(SalesTable[[#This Row],[left fn ]],SalesTable[[#This Row],[right]])</f>
        <v>AMMIT</v>
      </c>
      <c r="AA65">
        <f>LEN(SalesTable[[#This Row],[uppercase ]])</f>
        <v>4</v>
      </c>
      <c r="AB65" t="str">
        <f>TRIM(SalesTable[[#This Row],[Segment]])</f>
        <v>Home Office</v>
      </c>
      <c r="AC65" t="str">
        <f>_xlfn.TEXTJOIN("-",TRUE,SalesTable[[#This Row],[lowercase]],SalesTable[[#This Row],[middle]])</f>
        <v>amit-MI</v>
      </c>
      <c r="AD65">
        <f>FIND(SalesTable[[#This Row],[middle]],SalesTable[[#This Row],[concatenate ]],1)</f>
        <v>3</v>
      </c>
      <c r="AE65" s="1">
        <f t="shared" ca="1" si="3"/>
        <v>46087</v>
      </c>
      <c r="AF65" s="2">
        <f t="shared" ca="1" si="4"/>
        <v>46087.6708125</v>
      </c>
      <c r="AG65">
        <f>DAY(SalesTable[[#This Row],[OrderDate]])</f>
        <v>23</v>
      </c>
      <c r="AH65">
        <f>MONTH(SalesTable[[#This Row],[OrderDate]])</f>
        <v>1</v>
      </c>
      <c r="AI65">
        <f>YEAR(SalesTable[[#This Row],[OrderDate]])</f>
        <v>2025</v>
      </c>
      <c r="AJ65" t="str">
        <f>TEXT(SalesTable[[#This Row],[OrderDate]],"dddd")</f>
        <v>Thursday</v>
      </c>
      <c r="AK65">
        <f>WEEKDAY(SalesTable[[#This Row],[OrderDate]])</f>
        <v>5</v>
      </c>
      <c r="AL65" s="3">
        <f t="shared" si="5"/>
        <v>0.4375</v>
      </c>
      <c r="AM65">
        <f>HOUR(SalesTable[[#This Row],[time ]])</f>
        <v>10</v>
      </c>
      <c r="AN65">
        <f>MINUTE(SalesTable[[#This Row],[time ]])</f>
        <v>30</v>
      </c>
    </row>
    <row r="66" spans="1:40" x14ac:dyDescent="0.35">
      <c r="A66">
        <v>1065</v>
      </c>
      <c r="B66" t="s">
        <v>86</v>
      </c>
      <c r="C66" t="s">
        <v>35</v>
      </c>
      <c r="D66" t="s">
        <v>25</v>
      </c>
      <c r="E66" t="s">
        <v>26</v>
      </c>
      <c r="F66" t="s">
        <v>33</v>
      </c>
      <c r="G66" t="s">
        <v>52</v>
      </c>
      <c r="H66">
        <v>14</v>
      </c>
      <c r="I66">
        <v>20000</v>
      </c>
      <c r="J66">
        <v>0.08</v>
      </c>
      <c r="K66">
        <v>257600</v>
      </c>
      <c r="L66">
        <v>210000</v>
      </c>
      <c r="M66">
        <v>47600</v>
      </c>
      <c r="N66" t="s">
        <v>44</v>
      </c>
      <c r="O66" t="s">
        <v>22</v>
      </c>
      <c r="P66" t="str">
        <f>IF(SalesTable[[#This Row],[SalesAmount]]&gt;400000,"high sales","low sales")</f>
        <v>low sales</v>
      </c>
      <c r="Q66" t="b">
        <f>AND(SalesTable[[#This Row],[SalesAmount]]&gt;300000,SalesTable[[#This Row],[PaymentMode]]="Cash")</f>
        <v>0</v>
      </c>
      <c r="R66" t="b">
        <f>OR(SalesTable[[#This Row],[SalesAmount]]&gt;300000,SalesTable[[#This Row],[PaymentMode]]="Cash")</f>
        <v>0</v>
      </c>
      <c r="S66" t="b">
        <f>NOT(SalesTable[[#This Row],[SalesAmount]]&gt;500)</f>
        <v>0</v>
      </c>
      <c r="T66">
        <f>IFERROR(SalesTable[[#This Row],[Profit]]/SalesTable[[#This Row],[SalesAmount]],"no sales")</f>
        <v>0.18478260869565216</v>
      </c>
      <c r="U66" t="str">
        <f>UPPER(SalesTable[[#This Row],[Salesperson]])</f>
        <v>AMIT</v>
      </c>
      <c r="V66" t="str">
        <f>LOWER(SalesTable[[#This Row],[Salesperson]])</f>
        <v>amit</v>
      </c>
      <c r="W66" t="str">
        <f>LEFT(SalesTable[[#This Row],[uppercase ]],2)</f>
        <v>AM</v>
      </c>
      <c r="X66" t="str">
        <f>RIGHT(SalesTable[[#This Row],[uppercase ]],3)</f>
        <v>MIT</v>
      </c>
      <c r="Y66" t="str">
        <f>MID(SalesTable[[#This Row],[uppercase ]],2,2)</f>
        <v>MI</v>
      </c>
      <c r="Z66" t="str">
        <f>_xlfn.CONCAT(SalesTable[[#This Row],[left fn ]],SalesTable[[#This Row],[right]])</f>
        <v>AMMIT</v>
      </c>
      <c r="AA66">
        <f>LEN(SalesTable[[#This Row],[uppercase ]])</f>
        <v>4</v>
      </c>
      <c r="AB66" t="str">
        <f>TRIM(SalesTable[[#This Row],[Segment]])</f>
        <v>Consumer</v>
      </c>
      <c r="AC66" t="str">
        <f>_xlfn.TEXTJOIN("-",TRUE,SalesTable[[#This Row],[lowercase]],SalesTable[[#This Row],[middle]])</f>
        <v>amit-MI</v>
      </c>
      <c r="AD66">
        <f>FIND(SalesTable[[#This Row],[middle]],SalesTable[[#This Row],[concatenate ]],1)</f>
        <v>3</v>
      </c>
      <c r="AE66" s="1">
        <f t="shared" ref="AE66:AE71" ca="1" si="6">TODAY()</f>
        <v>46087</v>
      </c>
      <c r="AF66" s="2">
        <f t="shared" ref="AF66:AF71" ca="1" si="7">NOW()</f>
        <v>46087.6708125</v>
      </c>
      <c r="AG66">
        <f>DAY(SalesTable[[#This Row],[OrderDate]])</f>
        <v>2</v>
      </c>
      <c r="AH66">
        <f>MONTH(SalesTable[[#This Row],[OrderDate]])</f>
        <v>3</v>
      </c>
      <c r="AI66">
        <f>YEAR(SalesTable[[#This Row],[OrderDate]])</f>
        <v>2025</v>
      </c>
      <c r="AJ66" t="str">
        <f>TEXT(SalesTable[[#This Row],[OrderDate]],"dddd")</f>
        <v>Sunday</v>
      </c>
      <c r="AK66">
        <f>WEEKDAY(SalesTable[[#This Row],[OrderDate]])</f>
        <v>1</v>
      </c>
      <c r="AL66" s="3">
        <f t="shared" ref="AL66:AL71" si="8">TIME(10,30,0)</f>
        <v>0.4375</v>
      </c>
      <c r="AM66">
        <f>HOUR(SalesTable[[#This Row],[time ]])</f>
        <v>10</v>
      </c>
      <c r="AN66">
        <f>MINUTE(SalesTable[[#This Row],[time ]])</f>
        <v>30</v>
      </c>
    </row>
    <row r="67" spans="1:40" x14ac:dyDescent="0.35">
      <c r="A67">
        <v>1066</v>
      </c>
      <c r="B67" t="s">
        <v>74</v>
      </c>
      <c r="C67" t="s">
        <v>35</v>
      </c>
      <c r="D67" t="s">
        <v>25</v>
      </c>
      <c r="E67" t="s">
        <v>46</v>
      </c>
      <c r="F67" t="s">
        <v>47</v>
      </c>
      <c r="G67" t="s">
        <v>20</v>
      </c>
      <c r="H67">
        <v>5</v>
      </c>
      <c r="I67">
        <v>100</v>
      </c>
      <c r="J67">
        <v>0.02</v>
      </c>
      <c r="K67">
        <v>490</v>
      </c>
      <c r="L67">
        <v>250</v>
      </c>
      <c r="M67">
        <v>240</v>
      </c>
      <c r="N67" t="s">
        <v>21</v>
      </c>
      <c r="O67" t="s">
        <v>40</v>
      </c>
      <c r="P67" t="str">
        <f>IF(SalesTable[[#This Row],[SalesAmount]]&gt;400000,"high sales","low sales")</f>
        <v>low sales</v>
      </c>
      <c r="Q67" t="b">
        <f>AND(SalesTable[[#This Row],[SalesAmount]]&gt;300000,SalesTable[[#This Row],[PaymentMode]]="Cash")</f>
        <v>0</v>
      </c>
      <c r="R67" t="b">
        <f>OR(SalesTable[[#This Row],[SalesAmount]]&gt;300000,SalesTable[[#This Row],[PaymentMode]]="Cash")</f>
        <v>0</v>
      </c>
      <c r="S67" t="b">
        <f>NOT(SalesTable[[#This Row],[SalesAmount]]&gt;500)</f>
        <v>1</v>
      </c>
      <c r="T67">
        <f>IFERROR(SalesTable[[#This Row],[Profit]]/SalesTable[[#This Row],[SalesAmount]],"no sales")</f>
        <v>0.48979591836734693</v>
      </c>
      <c r="U67" t="str">
        <f>UPPER(SalesTable[[#This Row],[Salesperson]])</f>
        <v>AMIT</v>
      </c>
      <c r="V67" t="str">
        <f>LOWER(SalesTable[[#This Row],[Salesperson]])</f>
        <v>amit</v>
      </c>
      <c r="W67" t="str">
        <f>LEFT(SalesTable[[#This Row],[uppercase ]],2)</f>
        <v>AM</v>
      </c>
      <c r="X67" t="str">
        <f>RIGHT(SalesTable[[#This Row],[uppercase ]],3)</f>
        <v>MIT</v>
      </c>
      <c r="Y67" t="str">
        <f>MID(SalesTable[[#This Row],[uppercase ]],2,2)</f>
        <v>MI</v>
      </c>
      <c r="Z67" t="str">
        <f>_xlfn.CONCAT(SalesTable[[#This Row],[left fn ]],SalesTable[[#This Row],[right]])</f>
        <v>AMMIT</v>
      </c>
      <c r="AA67">
        <f>LEN(SalesTable[[#This Row],[uppercase ]])</f>
        <v>4</v>
      </c>
      <c r="AB67" t="str">
        <f>TRIM(SalesTable[[#This Row],[Segment]])</f>
        <v>Corporate</v>
      </c>
      <c r="AC67" t="str">
        <f>_xlfn.TEXTJOIN("-",TRUE,SalesTable[[#This Row],[lowercase]],SalesTable[[#This Row],[middle]])</f>
        <v>amit-MI</v>
      </c>
      <c r="AD67">
        <f>FIND(SalesTable[[#This Row],[middle]],SalesTable[[#This Row],[concatenate ]],1)</f>
        <v>3</v>
      </c>
      <c r="AE67" s="1">
        <f t="shared" ca="1" si="6"/>
        <v>46087</v>
      </c>
      <c r="AF67" s="2">
        <f t="shared" ca="1" si="7"/>
        <v>46087.6708125</v>
      </c>
      <c r="AG67">
        <f>DAY(SalesTable[[#This Row],[OrderDate]])</f>
        <v>27</v>
      </c>
      <c r="AH67">
        <f>MONTH(SalesTable[[#This Row],[OrderDate]])</f>
        <v>1</v>
      </c>
      <c r="AI67">
        <f>YEAR(SalesTable[[#This Row],[OrderDate]])</f>
        <v>2025</v>
      </c>
      <c r="AJ67" t="str">
        <f>TEXT(SalesTable[[#This Row],[OrderDate]],"dddd")</f>
        <v>Monday</v>
      </c>
      <c r="AK67">
        <f>WEEKDAY(SalesTable[[#This Row],[OrderDate]])</f>
        <v>2</v>
      </c>
      <c r="AL67" s="3">
        <f t="shared" si="8"/>
        <v>0.4375</v>
      </c>
      <c r="AM67">
        <f>HOUR(SalesTable[[#This Row],[time ]])</f>
        <v>10</v>
      </c>
      <c r="AN67">
        <f>MINUTE(SalesTable[[#This Row],[time ]])</f>
        <v>30</v>
      </c>
    </row>
    <row r="68" spans="1:40" x14ac:dyDescent="0.35">
      <c r="A68">
        <v>1067</v>
      </c>
      <c r="B68" t="s">
        <v>71</v>
      </c>
      <c r="C68" t="s">
        <v>16</v>
      </c>
      <c r="D68" t="s">
        <v>17</v>
      </c>
      <c r="E68" t="s">
        <v>18</v>
      </c>
      <c r="F68" t="s">
        <v>38</v>
      </c>
      <c r="G68" t="s">
        <v>52</v>
      </c>
      <c r="H68">
        <v>14</v>
      </c>
      <c r="I68">
        <v>35000</v>
      </c>
      <c r="J68">
        <v>0</v>
      </c>
      <c r="K68">
        <v>490000</v>
      </c>
      <c r="L68">
        <v>350000</v>
      </c>
      <c r="M68">
        <v>140000</v>
      </c>
      <c r="N68" t="s">
        <v>21</v>
      </c>
      <c r="O68" t="s">
        <v>40</v>
      </c>
      <c r="P68" t="str">
        <f>IF(SalesTable[[#This Row],[SalesAmount]]&gt;400000,"high sales","low sales")</f>
        <v>high sales</v>
      </c>
      <c r="Q68" t="b">
        <f>AND(SalesTable[[#This Row],[SalesAmount]]&gt;300000,SalesTable[[#This Row],[PaymentMode]]="Cash")</f>
        <v>0</v>
      </c>
      <c r="R68" t="b">
        <f>OR(SalesTable[[#This Row],[SalesAmount]]&gt;300000,SalesTable[[#This Row],[PaymentMode]]="Cash")</f>
        <v>1</v>
      </c>
      <c r="S68" t="b">
        <f>NOT(SalesTable[[#This Row],[SalesAmount]]&gt;500)</f>
        <v>0</v>
      </c>
      <c r="T68">
        <f>IFERROR(SalesTable[[#This Row],[Profit]]/SalesTable[[#This Row],[SalesAmount]],"no sales")</f>
        <v>0.2857142857142857</v>
      </c>
      <c r="U68" t="str">
        <f>UPPER(SalesTable[[#This Row],[Salesperson]])</f>
        <v>PRIYA</v>
      </c>
      <c r="V68" t="str">
        <f>LOWER(SalesTable[[#This Row],[Salesperson]])</f>
        <v>priya</v>
      </c>
      <c r="W68" t="str">
        <f>LEFT(SalesTable[[#This Row],[uppercase ]],2)</f>
        <v>PR</v>
      </c>
      <c r="X68" t="str">
        <f>RIGHT(SalesTable[[#This Row],[uppercase ]],3)</f>
        <v>IYA</v>
      </c>
      <c r="Y68" t="str">
        <f>MID(SalesTable[[#This Row],[uppercase ]],2,2)</f>
        <v>RI</v>
      </c>
      <c r="Z68" t="str">
        <f>_xlfn.CONCAT(SalesTable[[#This Row],[left fn ]],SalesTable[[#This Row],[right]])</f>
        <v>PRIYA</v>
      </c>
      <c r="AA68">
        <f>LEN(SalesTable[[#This Row],[uppercase ]])</f>
        <v>5</v>
      </c>
      <c r="AB68" t="str">
        <f>TRIM(SalesTable[[#This Row],[Segment]])</f>
        <v>Consumer</v>
      </c>
      <c r="AC68" t="str">
        <f>_xlfn.TEXTJOIN("-",TRUE,SalesTable[[#This Row],[lowercase]],SalesTable[[#This Row],[middle]])</f>
        <v>priya-RI</v>
      </c>
      <c r="AD68">
        <f>FIND(SalesTable[[#This Row],[middle]],SalesTable[[#This Row],[concatenate ]],1)</f>
        <v>2</v>
      </c>
      <c r="AE68" s="1">
        <f t="shared" ca="1" si="6"/>
        <v>46087</v>
      </c>
      <c r="AF68" s="2">
        <f t="shared" ca="1" si="7"/>
        <v>46087.6708125</v>
      </c>
      <c r="AG68">
        <f>DAY(SalesTable[[#This Row],[OrderDate]])</f>
        <v>14</v>
      </c>
      <c r="AH68">
        <f>MONTH(SalesTable[[#This Row],[OrderDate]])</f>
        <v>2</v>
      </c>
      <c r="AI68">
        <f>YEAR(SalesTable[[#This Row],[OrderDate]])</f>
        <v>2025</v>
      </c>
      <c r="AJ68" t="str">
        <f>TEXT(SalesTable[[#This Row],[OrderDate]],"dddd")</f>
        <v>Friday</v>
      </c>
      <c r="AK68">
        <f>WEEKDAY(SalesTable[[#This Row],[OrderDate]])</f>
        <v>6</v>
      </c>
      <c r="AL68" s="3">
        <f t="shared" si="8"/>
        <v>0.4375</v>
      </c>
      <c r="AM68">
        <f>HOUR(SalesTable[[#This Row],[time ]])</f>
        <v>10</v>
      </c>
      <c r="AN68">
        <f>MINUTE(SalesTable[[#This Row],[time ]])</f>
        <v>30</v>
      </c>
    </row>
    <row r="69" spans="1:40" x14ac:dyDescent="0.35">
      <c r="A69">
        <v>1068</v>
      </c>
      <c r="B69" t="s">
        <v>74</v>
      </c>
      <c r="C69" t="s">
        <v>35</v>
      </c>
      <c r="D69" t="s">
        <v>17</v>
      </c>
      <c r="E69" t="s">
        <v>18</v>
      </c>
      <c r="F69" t="s">
        <v>38</v>
      </c>
      <c r="G69" t="s">
        <v>52</v>
      </c>
      <c r="H69">
        <v>10</v>
      </c>
      <c r="I69">
        <v>35000</v>
      </c>
      <c r="J69">
        <v>0.1</v>
      </c>
      <c r="K69">
        <v>315000</v>
      </c>
      <c r="L69">
        <v>250000</v>
      </c>
      <c r="M69">
        <v>65000</v>
      </c>
      <c r="N69" t="s">
        <v>21</v>
      </c>
      <c r="O69" t="s">
        <v>22</v>
      </c>
      <c r="P69" t="str">
        <f>IF(SalesTable[[#This Row],[SalesAmount]]&gt;400000,"high sales","low sales")</f>
        <v>low sales</v>
      </c>
      <c r="Q69" t="b">
        <f>AND(SalesTable[[#This Row],[SalesAmount]]&gt;300000,SalesTable[[#This Row],[PaymentMode]]="Cash")</f>
        <v>0</v>
      </c>
      <c r="R69" t="b">
        <f>OR(SalesTable[[#This Row],[SalesAmount]]&gt;300000,SalesTable[[#This Row],[PaymentMode]]="Cash")</f>
        <v>1</v>
      </c>
      <c r="S69" t="b">
        <f>NOT(SalesTable[[#This Row],[SalesAmount]]&gt;500)</f>
        <v>0</v>
      </c>
      <c r="T69">
        <f>IFERROR(SalesTable[[#This Row],[Profit]]/SalesTable[[#This Row],[SalesAmount]],"no sales")</f>
        <v>0.20634920634920634</v>
      </c>
      <c r="U69" t="str">
        <f>UPPER(SalesTable[[#This Row],[Salesperson]])</f>
        <v>PRIYA</v>
      </c>
      <c r="V69" t="str">
        <f>LOWER(SalesTable[[#This Row],[Salesperson]])</f>
        <v>priya</v>
      </c>
      <c r="W69" t="str">
        <f>LEFT(SalesTable[[#This Row],[uppercase ]],2)</f>
        <v>PR</v>
      </c>
      <c r="X69" t="str">
        <f>RIGHT(SalesTable[[#This Row],[uppercase ]],3)</f>
        <v>IYA</v>
      </c>
      <c r="Y69" t="str">
        <f>MID(SalesTable[[#This Row],[uppercase ]],2,2)</f>
        <v>RI</v>
      </c>
      <c r="Z69" t="str">
        <f>_xlfn.CONCAT(SalesTable[[#This Row],[left fn ]],SalesTable[[#This Row],[right]])</f>
        <v>PRIYA</v>
      </c>
      <c r="AA69">
        <f>LEN(SalesTable[[#This Row],[uppercase ]])</f>
        <v>5</v>
      </c>
      <c r="AB69" t="str">
        <f>TRIM(SalesTable[[#This Row],[Segment]])</f>
        <v>Consumer</v>
      </c>
      <c r="AC69" t="str">
        <f>_xlfn.TEXTJOIN("-",TRUE,SalesTable[[#This Row],[lowercase]],SalesTable[[#This Row],[middle]])</f>
        <v>priya-RI</v>
      </c>
      <c r="AD69">
        <f>FIND(SalesTable[[#This Row],[middle]],SalesTable[[#This Row],[concatenate ]],1)</f>
        <v>2</v>
      </c>
      <c r="AE69" s="1">
        <f t="shared" ca="1" si="6"/>
        <v>46087</v>
      </c>
      <c r="AF69" s="2">
        <f t="shared" ca="1" si="7"/>
        <v>46087.6708125</v>
      </c>
      <c r="AG69">
        <f>DAY(SalesTable[[#This Row],[OrderDate]])</f>
        <v>27</v>
      </c>
      <c r="AH69">
        <f>MONTH(SalesTable[[#This Row],[OrderDate]])</f>
        <v>1</v>
      </c>
      <c r="AI69">
        <f>YEAR(SalesTable[[#This Row],[OrderDate]])</f>
        <v>2025</v>
      </c>
      <c r="AJ69" t="str">
        <f>TEXT(SalesTable[[#This Row],[OrderDate]],"dddd")</f>
        <v>Monday</v>
      </c>
      <c r="AK69">
        <f>WEEKDAY(SalesTable[[#This Row],[OrderDate]])</f>
        <v>2</v>
      </c>
      <c r="AL69" s="3">
        <f t="shared" si="8"/>
        <v>0.4375</v>
      </c>
      <c r="AM69">
        <f>HOUR(SalesTable[[#This Row],[time ]])</f>
        <v>10</v>
      </c>
      <c r="AN69">
        <f>MINUTE(SalesTable[[#This Row],[time ]])</f>
        <v>30</v>
      </c>
    </row>
    <row r="70" spans="1:40" x14ac:dyDescent="0.35">
      <c r="A70">
        <v>1069</v>
      </c>
      <c r="B70" t="s">
        <v>65</v>
      </c>
      <c r="C70" t="s">
        <v>35</v>
      </c>
      <c r="D70" t="s">
        <v>17</v>
      </c>
      <c r="E70" t="s">
        <v>18</v>
      </c>
      <c r="F70" t="s">
        <v>36</v>
      </c>
      <c r="G70" t="s">
        <v>28</v>
      </c>
      <c r="H70">
        <v>1</v>
      </c>
      <c r="I70">
        <v>25000</v>
      </c>
      <c r="J70">
        <v>0.15</v>
      </c>
      <c r="K70">
        <v>21250</v>
      </c>
      <c r="L70">
        <v>18000</v>
      </c>
      <c r="M70">
        <v>3250</v>
      </c>
      <c r="N70" t="s">
        <v>39</v>
      </c>
      <c r="O70" t="s">
        <v>22</v>
      </c>
      <c r="P70" t="str">
        <f>IF(SalesTable[[#This Row],[SalesAmount]]&gt;400000,"high sales","low sales")</f>
        <v>low sales</v>
      </c>
      <c r="Q70" t="b">
        <f>AND(SalesTable[[#This Row],[SalesAmount]]&gt;300000,SalesTable[[#This Row],[PaymentMode]]="Cash")</f>
        <v>0</v>
      </c>
      <c r="R70" t="b">
        <f>OR(SalesTable[[#This Row],[SalesAmount]]&gt;300000,SalesTable[[#This Row],[PaymentMode]]="Cash")</f>
        <v>0</v>
      </c>
      <c r="S70" t="b">
        <f>NOT(SalesTable[[#This Row],[SalesAmount]]&gt;500)</f>
        <v>0</v>
      </c>
      <c r="T70">
        <f>IFERROR(SalesTable[[#This Row],[Profit]]/SalesTable[[#This Row],[SalesAmount]],"no sales")</f>
        <v>0.15294117647058825</v>
      </c>
      <c r="U70" t="str">
        <f>UPPER(SalesTable[[#This Row],[Salesperson]])</f>
        <v>PRIYA</v>
      </c>
      <c r="V70" t="str">
        <f>LOWER(SalesTable[[#This Row],[Salesperson]])</f>
        <v>priya</v>
      </c>
      <c r="W70" t="str">
        <f>LEFT(SalesTable[[#This Row],[uppercase ]],2)</f>
        <v>PR</v>
      </c>
      <c r="X70" t="str">
        <f>RIGHT(SalesTable[[#This Row],[uppercase ]],3)</f>
        <v>IYA</v>
      </c>
      <c r="Y70" t="str">
        <f>MID(SalesTable[[#This Row],[uppercase ]],2,2)</f>
        <v>RI</v>
      </c>
      <c r="Z70" t="str">
        <f>_xlfn.CONCAT(SalesTable[[#This Row],[left fn ]],SalesTable[[#This Row],[right]])</f>
        <v>PRIYA</v>
      </c>
      <c r="AA70">
        <f>LEN(SalesTable[[#This Row],[uppercase ]])</f>
        <v>5</v>
      </c>
      <c r="AB70" t="str">
        <f>TRIM(SalesTable[[#This Row],[Segment]])</f>
        <v>Home Office</v>
      </c>
      <c r="AC70" t="str">
        <f>_xlfn.TEXTJOIN("-",TRUE,SalesTable[[#This Row],[lowercase]],SalesTable[[#This Row],[middle]])</f>
        <v>priya-RI</v>
      </c>
      <c r="AD70">
        <f>FIND(SalesTable[[#This Row],[middle]],SalesTable[[#This Row],[concatenate ]],1)</f>
        <v>2</v>
      </c>
      <c r="AE70" s="1">
        <f t="shared" ca="1" si="6"/>
        <v>46087</v>
      </c>
      <c r="AF70" s="2">
        <f t="shared" ca="1" si="7"/>
        <v>46087.6708125</v>
      </c>
      <c r="AG70">
        <f>DAY(SalesTable[[#This Row],[OrderDate]])</f>
        <v>16</v>
      </c>
      <c r="AH70">
        <f>MONTH(SalesTable[[#This Row],[OrderDate]])</f>
        <v>1</v>
      </c>
      <c r="AI70">
        <f>YEAR(SalesTable[[#This Row],[OrderDate]])</f>
        <v>2025</v>
      </c>
      <c r="AJ70" t="str">
        <f>TEXT(SalesTable[[#This Row],[OrderDate]],"dddd")</f>
        <v>Thursday</v>
      </c>
      <c r="AK70">
        <f>WEEKDAY(SalesTable[[#This Row],[OrderDate]])</f>
        <v>5</v>
      </c>
      <c r="AL70" s="3">
        <f t="shared" si="8"/>
        <v>0.4375</v>
      </c>
      <c r="AM70">
        <f>HOUR(SalesTable[[#This Row],[time ]])</f>
        <v>10</v>
      </c>
      <c r="AN70">
        <f>MINUTE(SalesTable[[#This Row],[time ]])</f>
        <v>30</v>
      </c>
    </row>
    <row r="71" spans="1:40" x14ac:dyDescent="0.35">
      <c r="A71">
        <v>1070</v>
      </c>
      <c r="B71" t="s">
        <v>15</v>
      </c>
      <c r="C71" t="s">
        <v>32</v>
      </c>
      <c r="D71" t="s">
        <v>25</v>
      </c>
      <c r="E71" t="s">
        <v>26</v>
      </c>
      <c r="F71" t="s">
        <v>33</v>
      </c>
      <c r="G71" t="s">
        <v>52</v>
      </c>
      <c r="H71">
        <v>16</v>
      </c>
      <c r="I71">
        <v>20000</v>
      </c>
      <c r="J71">
        <v>0.08</v>
      </c>
      <c r="K71">
        <v>294400</v>
      </c>
      <c r="L71">
        <v>240000</v>
      </c>
      <c r="M71">
        <v>54400</v>
      </c>
      <c r="N71" t="s">
        <v>29</v>
      </c>
      <c r="O71" t="s">
        <v>30</v>
      </c>
      <c r="P71" t="str">
        <f>IF(SalesTable[[#This Row],[SalesAmount]]&gt;400000,"high sales","low sales")</f>
        <v>low sales</v>
      </c>
      <c r="Q71" t="b">
        <f>AND(SalesTable[[#This Row],[SalesAmount]]&gt;300000,SalesTable[[#This Row],[PaymentMode]]="Cash")</f>
        <v>0</v>
      </c>
      <c r="R71" t="b">
        <f>OR(SalesTable[[#This Row],[SalesAmount]]&gt;300000,SalesTable[[#This Row],[PaymentMode]]="Cash")</f>
        <v>1</v>
      </c>
      <c r="S71" t="b">
        <f>NOT(SalesTable[[#This Row],[SalesAmount]]&gt;500)</f>
        <v>0</v>
      </c>
      <c r="T71">
        <f>IFERROR(SalesTable[[#This Row],[Profit]]/SalesTable[[#This Row],[SalesAmount]],"no sales")</f>
        <v>0.18478260869565216</v>
      </c>
      <c r="U71" t="str">
        <f>UPPER(SalesTable[[#This Row],[Salesperson]])</f>
        <v>AMIT</v>
      </c>
      <c r="V71" t="str">
        <f>LOWER(SalesTable[[#This Row],[Salesperson]])</f>
        <v>amit</v>
      </c>
      <c r="W71" t="str">
        <f>LEFT(SalesTable[[#This Row],[uppercase ]],2)</f>
        <v>AM</v>
      </c>
      <c r="X71" t="str">
        <f>RIGHT(SalesTable[[#This Row],[uppercase ]],3)</f>
        <v>MIT</v>
      </c>
      <c r="Y71" t="str">
        <f>MID(SalesTable[[#This Row],[uppercase ]],2,2)</f>
        <v>MI</v>
      </c>
      <c r="Z71" t="str">
        <f>_xlfn.CONCAT(SalesTable[[#This Row],[left fn ]],SalesTable[[#This Row],[right]])</f>
        <v>AMMIT</v>
      </c>
      <c r="AA71">
        <f>LEN(SalesTable[[#This Row],[uppercase ]])</f>
        <v>4</v>
      </c>
      <c r="AB71" t="str">
        <f>TRIM(SalesTable[[#This Row],[Segment]])</f>
        <v>Consumer</v>
      </c>
      <c r="AC71" t="str">
        <f>_xlfn.TEXTJOIN("-",TRUE,SalesTable[[#This Row],[lowercase]],SalesTable[[#This Row],[middle]])</f>
        <v>amit-MI</v>
      </c>
      <c r="AD71">
        <f>FIND(SalesTable[[#This Row],[middle]],SalesTable[[#This Row],[concatenate ]],1)</f>
        <v>3</v>
      </c>
      <c r="AE71" s="1">
        <f t="shared" ca="1" si="6"/>
        <v>46087</v>
      </c>
      <c r="AF71" s="2">
        <f t="shared" ca="1" si="7"/>
        <v>46087.6708125</v>
      </c>
      <c r="AG71">
        <f>DAY(SalesTable[[#This Row],[OrderDate]])</f>
        <v>13</v>
      </c>
      <c r="AH71">
        <f>MONTH(SalesTable[[#This Row],[OrderDate]])</f>
        <v>2</v>
      </c>
      <c r="AI71">
        <f>YEAR(SalesTable[[#This Row],[OrderDate]])</f>
        <v>2025</v>
      </c>
      <c r="AJ71" t="str">
        <f>TEXT(SalesTable[[#This Row],[OrderDate]],"dddd")</f>
        <v>Thursday</v>
      </c>
      <c r="AK71">
        <f>WEEKDAY(SalesTable[[#This Row],[OrderDate]])</f>
        <v>5</v>
      </c>
      <c r="AL71" s="3">
        <f t="shared" si="8"/>
        <v>0.4375</v>
      </c>
      <c r="AM71">
        <f>HOUR(SalesTable[[#This Row],[time ]])</f>
        <v>10</v>
      </c>
      <c r="AN71">
        <f>MINUTE(SalesTable[[#This Row],[time ]])</f>
        <v>30</v>
      </c>
    </row>
    <row r="74" spans="1:40" x14ac:dyDescent="0.35">
      <c r="J74" t="s">
        <v>89</v>
      </c>
      <c r="K74">
        <f>SUM(K1:K71)</f>
        <v>9393364</v>
      </c>
      <c r="R74">
        <v>1065</v>
      </c>
    </row>
    <row r="75" spans="1:40" x14ac:dyDescent="0.35">
      <c r="J75" t="s">
        <v>90</v>
      </c>
      <c r="K75">
        <f xml:space="preserve"> AVERAGE(K1:K71)</f>
        <v>134190.91428571427</v>
      </c>
      <c r="N75" t="s">
        <v>98</v>
      </c>
      <c r="O75" t="str">
        <f>VLOOKUP(R74,1:1048576,6,FALSE)</f>
        <v>Mobile</v>
      </c>
      <c r="R75" t="s">
        <v>100</v>
      </c>
    </row>
    <row r="76" spans="1:40" x14ac:dyDescent="0.35">
      <c r="J76" t="s">
        <v>91</v>
      </c>
      <c r="K76">
        <f>COUNT(K1:K71)</f>
        <v>70</v>
      </c>
      <c r="N76" t="s">
        <v>99</v>
      </c>
      <c r="O76">
        <f>HLOOKUP("SalesAmount",1:1048576,6,FALSE)</f>
        <v>63000</v>
      </c>
    </row>
    <row r="77" spans="1:40" x14ac:dyDescent="0.35">
      <c r="J77" t="s">
        <v>92</v>
      </c>
      <c r="K77">
        <f>COUNTA(K1:K71)</f>
        <v>71</v>
      </c>
      <c r="N77" t="s">
        <v>97</v>
      </c>
    </row>
    <row r="78" spans="1:40" x14ac:dyDescent="0.35">
      <c r="J78" t="s">
        <v>93</v>
      </c>
      <c r="K78">
        <f>COUNTIFS(K1:K71,"&gt;250000",K1:K71,"&lt;300000")</f>
        <v>4</v>
      </c>
      <c r="N78" t="s">
        <v>106</v>
      </c>
      <c r="O78">
        <f>INDEX(K1:K71,MATCH(1005,A:A,0))</f>
        <v>63000</v>
      </c>
    </row>
    <row r="79" spans="1:40" x14ac:dyDescent="0.35">
      <c r="J79" t="s">
        <v>94</v>
      </c>
      <c r="K79">
        <f>COUNTIF(K1:K71,"&gt;250000")</f>
        <v>15</v>
      </c>
    </row>
    <row r="80" spans="1:40" x14ac:dyDescent="0.35">
      <c r="J80" t="s">
        <v>95</v>
      </c>
      <c r="K80">
        <f>SUMIF(K1:K71,"&gt;250000")</f>
        <v>6180250</v>
      </c>
    </row>
    <row r="81" spans="10:11" x14ac:dyDescent="0.35">
      <c r="J81" t="s">
        <v>96</v>
      </c>
      <c r="K81">
        <f>SUMIFS(K1:K71,E1:E71,"furniture")</f>
        <v>4131520</v>
      </c>
    </row>
    <row r="83" spans="10:11" x14ac:dyDescent="0.35">
      <c r="J83" t="s">
        <v>127</v>
      </c>
      <c r="K83" s="7">
        <f>SUM(K1:K71)</f>
        <v>9393364</v>
      </c>
    </row>
    <row r="84" spans="10:11" x14ac:dyDescent="0.35">
      <c r="J84" t="s">
        <v>128</v>
      </c>
      <c r="K84" s="7">
        <f>SUM(M1:M71)</f>
        <v>1635746</v>
      </c>
    </row>
    <row r="85" spans="10:11" x14ac:dyDescent="0.35">
      <c r="J85" t="s">
        <v>129</v>
      </c>
      <c r="K85">
        <f>COUNT(A1:A71)</f>
        <v>70</v>
      </c>
    </row>
    <row r="86" spans="10:11" x14ac:dyDescent="0.35">
      <c r="J86" t="s">
        <v>130</v>
      </c>
      <c r="K86" s="4">
        <f>AVERAGE(J1:J71)</f>
        <v>5.5857142857142862E-2</v>
      </c>
    </row>
  </sheetData>
  <conditionalFormatting sqref="K1:K1048576">
    <cfRule type="iconSet" priority="3">
      <iconSet>
        <cfvo type="percent" val="0"/>
        <cfvo type="num" val="250000"/>
        <cfvo type="num" val="400000"/>
      </iconSet>
    </cfRule>
  </conditionalFormatting>
  <conditionalFormatting sqref="M1:M1048576">
    <cfRule type="dataBar" priority="1">
      <dataBar>
        <cfvo type="min"/>
        <cfvo type="max"/>
        <color rgb="FFFF555A"/>
      </dataBar>
      <extLst>
        <ext xmlns:x14="http://schemas.microsoft.com/office/spreadsheetml/2009/9/main" uri="{B025F937-C7B1-47D3-B67F-A62EFF666E3E}">
          <x14:id>{94FE207E-032D-4322-9F2B-138B857192E7}</x14:id>
        </ext>
      </extLst>
    </cfRule>
  </conditionalFormatting>
  <dataValidations count="1">
    <dataValidation type="list" allowBlank="1" showInputMessage="1" showErrorMessage="1" sqref="C1:C1048576" xr:uid="{83BDF8AD-0D68-4F65-9DD3-91DD86235285}">
      <formula1>"North,South,East,West"</formula1>
    </dataValidation>
  </dataValidations>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4FE207E-032D-4322-9F2B-138B857192E7}">
            <x14:dataBar minLength="0" maxLength="100" border="1" negativeBarBorderColorSameAsPositive="0">
              <x14:cfvo type="autoMin"/>
              <x14:cfvo type="autoMax"/>
              <x14:borderColor rgb="FFFF555A"/>
              <x14:negativeFillColor rgb="FFFF0000"/>
              <x14:negativeBorderColor rgb="FFFF0000"/>
              <x14:axisColor rgb="FF000000"/>
            </x14:dataBar>
          </x14:cfRule>
          <xm:sqref>M1:M1048576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7" sqref="A7"/>
    </sheetView>
  </sheetViews>
  <sheetFormatPr defaultRowHeight="14.5" x14ac:dyDescent="0.35"/>
  <sheetData>
    <row r="1" spans="1:2" x14ac:dyDescent="0.35">
      <c r="A1" t="s">
        <v>3</v>
      </c>
      <c r="B1" t="s">
        <v>87</v>
      </c>
    </row>
    <row r="2" spans="1:2" x14ac:dyDescent="0.35">
      <c r="A2" t="s">
        <v>25</v>
      </c>
      <c r="B2">
        <v>500000</v>
      </c>
    </row>
    <row r="3" spans="1:2" x14ac:dyDescent="0.35">
      <c r="A3" t="s">
        <v>17</v>
      </c>
      <c r="B3">
        <v>450000</v>
      </c>
    </row>
    <row r="4" spans="1:2" x14ac:dyDescent="0.35">
      <c r="A4" t="s">
        <v>54</v>
      </c>
      <c r="B4">
        <v>400000</v>
      </c>
    </row>
    <row r="5" spans="1:2" x14ac:dyDescent="0.35">
      <c r="A5" t="s">
        <v>42</v>
      </c>
      <c r="B5">
        <v>420000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4.5" x14ac:dyDescent="0.35"/>
  <sheetData>
    <row r="1" spans="1:3" x14ac:dyDescent="0.35">
      <c r="A1" t="s">
        <v>5</v>
      </c>
      <c r="B1" t="s">
        <v>4</v>
      </c>
      <c r="C1" t="s">
        <v>88</v>
      </c>
    </row>
    <row r="2" spans="1:3" x14ac:dyDescent="0.35">
      <c r="A2" t="s">
        <v>50</v>
      </c>
      <c r="B2" t="s">
        <v>26</v>
      </c>
      <c r="C2">
        <v>50000</v>
      </c>
    </row>
    <row r="3" spans="1:3" x14ac:dyDescent="0.35">
      <c r="A3" t="s">
        <v>33</v>
      </c>
      <c r="B3" t="s">
        <v>26</v>
      </c>
      <c r="C3">
        <v>15000</v>
      </c>
    </row>
    <row r="4" spans="1:3" x14ac:dyDescent="0.35">
      <c r="A4" t="s">
        <v>27</v>
      </c>
      <c r="B4" t="s">
        <v>26</v>
      </c>
      <c r="C4">
        <v>12000</v>
      </c>
    </row>
    <row r="5" spans="1:3" x14ac:dyDescent="0.35">
      <c r="A5" t="s">
        <v>59</v>
      </c>
      <c r="B5" t="s">
        <v>26</v>
      </c>
      <c r="C5">
        <v>1500</v>
      </c>
    </row>
    <row r="6" spans="1:3" x14ac:dyDescent="0.35">
      <c r="A6" t="s">
        <v>19</v>
      </c>
      <c r="B6" t="s">
        <v>18</v>
      </c>
      <c r="C6">
        <v>2000</v>
      </c>
    </row>
    <row r="7" spans="1:3" x14ac:dyDescent="0.35">
      <c r="A7" t="s">
        <v>43</v>
      </c>
      <c r="B7" t="s">
        <v>18</v>
      </c>
      <c r="C7">
        <v>8000</v>
      </c>
    </row>
    <row r="8" spans="1:3" x14ac:dyDescent="0.35">
      <c r="A8" t="s">
        <v>38</v>
      </c>
      <c r="B8" t="s">
        <v>18</v>
      </c>
      <c r="C8">
        <v>25000</v>
      </c>
    </row>
    <row r="9" spans="1:3" x14ac:dyDescent="0.35">
      <c r="A9" t="s">
        <v>36</v>
      </c>
      <c r="B9" t="s">
        <v>18</v>
      </c>
      <c r="C9">
        <v>18000</v>
      </c>
    </row>
    <row r="10" spans="1:3" x14ac:dyDescent="0.35">
      <c r="A10" t="s">
        <v>49</v>
      </c>
      <c r="B10" t="s">
        <v>46</v>
      </c>
      <c r="C10">
        <v>350</v>
      </c>
    </row>
    <row r="11" spans="1:3" x14ac:dyDescent="0.35">
      <c r="A11" t="s">
        <v>47</v>
      </c>
      <c r="B11" t="s">
        <v>46</v>
      </c>
      <c r="C11">
        <v>50</v>
      </c>
    </row>
    <row r="12" spans="1:3" x14ac:dyDescent="0.35">
      <c r="A12" t="s">
        <v>72</v>
      </c>
      <c r="B12" t="s">
        <v>46</v>
      </c>
      <c r="C12">
        <v>120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323BFA-542B-4297-9A36-4BDECDEDB5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tables</vt:lpstr>
      <vt:lpstr>dashboard</vt:lpstr>
      <vt:lpstr>SalesTable_1</vt:lpstr>
      <vt:lpstr>SalesTable</vt:lpstr>
      <vt:lpstr>Sales_Data</vt:lpstr>
      <vt:lpstr>Targets</vt:lpstr>
      <vt:lpstr>Product_Master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Vulli Pavan</cp:lastModifiedBy>
  <dcterms:created xsi:type="dcterms:W3CDTF">2026-03-05T12:00:24Z</dcterms:created>
  <dcterms:modified xsi:type="dcterms:W3CDTF">2026-03-06T10:35:59Z</dcterms:modified>
</cp:coreProperties>
</file>